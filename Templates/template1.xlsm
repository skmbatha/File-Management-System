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Users\Documents\Transnet\"/>
    </mc:Choice>
  </mc:AlternateContent>
  <xr:revisionPtr revIDLastSave="0" documentId="13_ncr:1_{E4421848-3639-4332-8AA7-813EC1E8ABA9}" xr6:coauthVersionLast="44" xr6:coauthVersionMax="44" xr10:uidLastSave="{00000000-0000-0000-0000-000000000000}"/>
  <bookViews>
    <workbookView xWindow="-110" yWindow="-110" windowWidth="19420" windowHeight="10420" xr2:uid="{4669FEC2-C6DE-49C6-91CE-B14629B3EE41}"/>
  </bookViews>
  <sheets>
    <sheet name="Input_PM_Data" sheetId="1" r:id="rId1"/>
    <sheet name="Schedule_Dates" sheetId="14" r:id="rId2"/>
    <sheet name="Yes_No" sheetId="13" state="hidden" r:id="rId3"/>
    <sheet name="Maint Act" sheetId="12" state="hidden" r:id="rId4"/>
    <sheet name="Priority" sheetId="11" state="hidden" r:id="rId5"/>
    <sheet name="Discipline" sheetId="4" state="hidden" r:id="rId6"/>
    <sheet name="PM Number " sheetId="5" state="hidden" r:id="rId7"/>
    <sheet name="WorkCntrData" sheetId="6" state="hidden" r:id="rId8"/>
    <sheet name="WorkCenterDetails" sheetId="3" state="hidden" r:id="rId9"/>
    <sheet name="Team Details" sheetId="2" state="hidden" r:id="rId10"/>
    <sheet name="Function_Location" sheetId="7" state="hidden" r:id="rId11"/>
    <sheet name="MPL_Options" sheetId="8" state="hidden" r:id="rId12"/>
    <sheet name="DescriptionOfTasks" sheetId="9" state="hidden" r:id="rId13"/>
  </sheets>
  <externalReferences>
    <externalReference r:id="rId14"/>
    <externalReference r:id="rId15"/>
  </externalReferences>
  <definedNames>
    <definedName name="CO4LB22">Table11[LB22]</definedName>
    <definedName name="CO4LB27">Table12[LB27]</definedName>
    <definedName name="CO4LB28">Table13[LB28]</definedName>
    <definedName name="CO4LB29">Table14[LB29]</definedName>
    <definedName name="CO4LB30">Table15[LB30]</definedName>
    <definedName name="CO4LB31">Table16[LB31]</definedName>
    <definedName name="CO4LB40">Table17[LB40]</definedName>
    <definedName name="CO4LB69">Table18[LB69]</definedName>
    <definedName name="Description">[1]FuncLocs!$C$2:$C$1048576</definedName>
    <definedName name="DescriptionOfTasks">Table20[DescriptionofTasks]</definedName>
    <definedName name="Discipline">Discipline!$A$2:$A$3</definedName>
    <definedName name="Equip_No.">'[1]Equipment number'!$A$2:$A$9</definedName>
    <definedName name="FunctionLocation">Table1[FunctionLocation List]</definedName>
    <definedName name="Maint_Act">Table10[Maint Act]</definedName>
    <definedName name="MPLoptions">Table9[[MPL ]]</definedName>
    <definedName name="No">MPL_Options!$D$2</definedName>
    <definedName name="PMnumber">Table7[[PM Number ]]</definedName>
    <definedName name="Priority">Table21[Priority]</definedName>
    <definedName name="Table2" localSheetId="7">Table39[[#All],[WorkCntr]]</definedName>
    <definedName name="Table2">Table36[[#All],[WorkCntr]]</definedName>
    <definedName name="Team" localSheetId="8">'[1]Team Details'!$C$2:$C$8</definedName>
    <definedName name="Team" localSheetId="7">'[1]Team Details'!$C$2:$C$8</definedName>
    <definedName name="Team">'Team Details'!$C$2:$C$8</definedName>
    <definedName name="WC_Type" localSheetId="9">'Team Details'!$A$2:$A$5</definedName>
    <definedName name="WC_Type" localSheetId="8">'[1]Team Details'!$A$2:$A$5</definedName>
    <definedName name="WC_Type" localSheetId="7">'[1]Team Details'!$A$2:$A$5</definedName>
    <definedName name="WC_Type">'[2]Team Details'!$A$2:$A$5</definedName>
    <definedName name="WorkCenter" localSheetId="7">WorkCntrData!$A$2:$A$44</definedName>
    <definedName name="WorkCenter">WorkCenterDetails!$A$2:$A$44</definedName>
    <definedName name="WorkCenterNumber">WorkCenterDetails!$A$2:$A$39</definedName>
    <definedName name="WorkCenterType">'Team Details'!$A$2:$A$3</definedName>
    <definedName name="Yes">MPL_Options!$C$2</definedName>
    <definedName name="Yes_No_Options">Table23[[Options ]]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1" l="1"/>
  <c r="I4" i="1"/>
  <c r="J4" i="1"/>
  <c r="N4" i="1"/>
  <c r="K4" i="1" s="1"/>
</calcChain>
</file>

<file path=xl/sharedStrings.xml><?xml version="1.0" encoding="utf-8"?>
<sst xmlns="http://schemas.openxmlformats.org/spreadsheetml/2006/main" count="778" uniqueCount="306">
  <si>
    <t>Discipline</t>
  </si>
  <si>
    <t>PM No.</t>
  </si>
  <si>
    <t>Work Centre</t>
  </si>
  <si>
    <t>WC Type</t>
  </si>
  <si>
    <t>Team Leader</t>
  </si>
  <si>
    <t>Team</t>
  </si>
  <si>
    <t>Team Strength</t>
  </si>
  <si>
    <t>Equip. No.</t>
  </si>
  <si>
    <t>Func. Loc.</t>
  </si>
  <si>
    <t>Km from</t>
  </si>
  <si>
    <t>Km to</t>
  </si>
  <si>
    <t>Qty.</t>
  </si>
  <si>
    <t xml:space="preserve">WC Type </t>
  </si>
  <si>
    <t xml:space="preserve">Production </t>
  </si>
  <si>
    <t>RRV</t>
  </si>
  <si>
    <t>Planning</t>
  </si>
  <si>
    <t xml:space="preserve">Traditional Team </t>
  </si>
  <si>
    <t>WorkCntr</t>
  </si>
  <si>
    <t>Plnt</t>
  </si>
  <si>
    <t>Cat</t>
  </si>
  <si>
    <t>Description</t>
  </si>
  <si>
    <t>Depot</t>
  </si>
  <si>
    <t>Cost Cntre</t>
  </si>
  <si>
    <t>Activity</t>
  </si>
  <si>
    <t>Capcty</t>
  </si>
  <si>
    <t>3515176B</t>
  </si>
  <si>
    <t>I002</t>
  </si>
  <si>
    <t>TECH IN TRAINING WORKSHOP PT MOLISALIFE</t>
  </si>
  <si>
    <t>PT. Molisalife</t>
  </si>
  <si>
    <t>BFX</t>
  </si>
  <si>
    <t>CLM</t>
  </si>
  <si>
    <t>Perway</t>
  </si>
  <si>
    <t>I5150111</t>
  </si>
  <si>
    <t>TRADISIONEEL BLOEMFONTEIN - XW QHINA</t>
  </si>
  <si>
    <t>XW. Qhina</t>
  </si>
  <si>
    <t>I5150112</t>
  </si>
  <si>
    <t>TRADISIONEEL BLOEMFONTEIN - NDUNA</t>
  </si>
  <si>
    <t>Nduna</t>
  </si>
  <si>
    <t>I5150113</t>
  </si>
  <si>
    <t>TRADISIONEEL KROONSTAD  - ST SHABALALA</t>
  </si>
  <si>
    <t>Rakoti</t>
  </si>
  <si>
    <t>KDR</t>
  </si>
  <si>
    <t>I5150114</t>
  </si>
  <si>
    <t>TRADISIONAL TEAM KROONSTAD D NTSUKU</t>
  </si>
  <si>
    <t>D. Ntsuku</t>
  </si>
  <si>
    <t>I5150115</t>
  </si>
  <si>
    <t>TRADISIONEEL , BETHLEHEM  NTANANE</t>
  </si>
  <si>
    <t>Ntanane</t>
  </si>
  <si>
    <t>BHM</t>
  </si>
  <si>
    <t>I515011Q</t>
  </si>
  <si>
    <t>BFX  MAINTENANCE TRACK  RELIEVE</t>
  </si>
  <si>
    <t>TRACK. Relieve</t>
  </si>
  <si>
    <t>J515011A</t>
  </si>
  <si>
    <t>ROAD RAIL BLOEMFONTEIN, KL LONAKE</t>
  </si>
  <si>
    <t>KL. Lonake</t>
  </si>
  <si>
    <t>J515011B</t>
  </si>
  <si>
    <t>Hi-Rail Spoorbaan-Brandfordt PP MOROBELA</t>
  </si>
  <si>
    <t>PP. Morobela</t>
  </si>
  <si>
    <t>J515011D</t>
  </si>
  <si>
    <t>Hi-Rail Spoorbaan Span, Welkom. MOSOLOLI</t>
  </si>
  <si>
    <t>Mtshali</t>
  </si>
  <si>
    <t>J515011G</t>
  </si>
  <si>
    <t>ROAD RAIL KROONSTAD  - JP LABASE</t>
  </si>
  <si>
    <t>JP. Labase</t>
  </si>
  <si>
    <t>J515011H</t>
  </si>
  <si>
    <t>ROAD RAIL KOPPIES  PMJ MOKOENA</t>
  </si>
  <si>
    <t>PMJ. Mokoena</t>
  </si>
  <si>
    <t>J515011I</t>
  </si>
  <si>
    <t>ROAD RAIL THEUNISSEN VACANT</t>
  </si>
  <si>
    <t>J515011J</t>
  </si>
  <si>
    <t>ROAD RAIL BOTHAVILLE  DIKHOELI</t>
  </si>
  <si>
    <t>J515011K</t>
  </si>
  <si>
    <t>ROAD RAIL ARLINGTON STOMPIE</t>
  </si>
  <si>
    <t>Stompie</t>
  </si>
  <si>
    <t>J515011L</t>
  </si>
  <si>
    <t>ROAD RAIL ARLINGTON  OJ KHAMPEPE</t>
  </si>
  <si>
    <t>OJ. Khampepe</t>
  </si>
  <si>
    <t>J515011M</t>
  </si>
  <si>
    <t>ROAD RAIL BETHLEHEM  NJ MAJOLA</t>
  </si>
  <si>
    <t>NJ. Majola</t>
  </si>
  <si>
    <t>J515011Q</t>
  </si>
  <si>
    <t>ROAD RAIL TWEESPRUIT A VAN BALJON</t>
  </si>
  <si>
    <t>A. v Biljon</t>
  </si>
  <si>
    <t>L515011A</t>
  </si>
  <si>
    <t>SWEIS-SPAN BLOEMFONTEIN JONSON</t>
  </si>
  <si>
    <t>Jonson</t>
  </si>
  <si>
    <t>L515011B</t>
  </si>
  <si>
    <t>SWEIS-SPAN BLOEMFONTEIN PHAKIO</t>
  </si>
  <si>
    <t>Phakio</t>
  </si>
  <si>
    <t>L515011C</t>
  </si>
  <si>
    <t>KDR MAINTENANCE TRACK WELDING - PIET</t>
  </si>
  <si>
    <t>Piet</t>
  </si>
  <si>
    <t>L515011D</t>
  </si>
  <si>
    <t>BFX MAINTENANCE TRACK WELDING - MALEKO</t>
  </si>
  <si>
    <t>Maleko</t>
  </si>
  <si>
    <t>L515011E</t>
  </si>
  <si>
    <t>WELDING TEAM BETHLEHEM TSHABALALA</t>
  </si>
  <si>
    <t>Tshabalala</t>
  </si>
  <si>
    <t>L515011F</t>
  </si>
  <si>
    <t>WELDING TEAM BETHLEHEM LP MASHENENE</t>
  </si>
  <si>
    <t>LP. Mashenene</t>
  </si>
  <si>
    <t>L515011M</t>
  </si>
  <si>
    <t>SWEIS-SPAN KROONSTAD A VD HEEVER</t>
  </si>
  <si>
    <t>A. vd Heever</t>
  </si>
  <si>
    <t>O515014O</t>
  </si>
  <si>
    <t>M/PLANNING/TRACK/WELD :K PRETORIUS</t>
  </si>
  <si>
    <t>K. Pretorius</t>
  </si>
  <si>
    <t>O515102D</t>
  </si>
  <si>
    <t>PLANNING ET TRACK : N ARMSTRONG</t>
  </si>
  <si>
    <t>N. Armstrong</t>
  </si>
  <si>
    <t>O515102E</t>
  </si>
  <si>
    <t>PLANNING ET TRACK : P BEZUIDENHOUT</t>
  </si>
  <si>
    <t>P. Bezuidenhout</t>
  </si>
  <si>
    <t>O515102H</t>
  </si>
  <si>
    <t>PLANNING ET TRACK : L MOLABA</t>
  </si>
  <si>
    <t>L. Molaba</t>
  </si>
  <si>
    <t>O515102I</t>
  </si>
  <si>
    <t>PLANNING ET TRACK : W MASOTE</t>
  </si>
  <si>
    <t>W. Masote</t>
  </si>
  <si>
    <t>O515102J</t>
  </si>
  <si>
    <t>PLANNING ET TRACK : P MALAPE</t>
  </si>
  <si>
    <t>P. Malape</t>
  </si>
  <si>
    <t>O515102N</t>
  </si>
  <si>
    <t>M/PLANNING/TRACK : PORTIA</t>
  </si>
  <si>
    <t>P. Ntjane</t>
  </si>
  <si>
    <t>O515102P</t>
  </si>
  <si>
    <t>M/PLANNING/TRACK : M VAN HEERDEN</t>
  </si>
  <si>
    <t>VAN. Heerden</t>
  </si>
  <si>
    <t>O515102Q</t>
  </si>
  <si>
    <t>M/PLANNING/TRACK : MD MOKOENA</t>
  </si>
  <si>
    <t>MD. Mokoena</t>
  </si>
  <si>
    <t>O515102R</t>
  </si>
  <si>
    <t>M/PLANNING/TRACK : C VAN NIEKERK</t>
  </si>
  <si>
    <t>C. v Niekerk</t>
  </si>
  <si>
    <t>O515102S</t>
  </si>
  <si>
    <t>M/PLANNING/TRACK : PMJ MOKOENA</t>
  </si>
  <si>
    <t>O515102T</t>
  </si>
  <si>
    <t>M/PLANNING/TRACK : D DIPPENAAR</t>
  </si>
  <si>
    <t>D. Dippenaar</t>
  </si>
  <si>
    <t>O515102V</t>
  </si>
  <si>
    <t>PLANNING et TRACK : Gideon Ackermann</t>
  </si>
  <si>
    <t>G. Ackermann</t>
  </si>
  <si>
    <t xml:space="preserve">PM Number </t>
  </si>
  <si>
    <t xml:space="preserve">To be determined </t>
  </si>
  <si>
    <t>Sub Func. Loc.</t>
  </si>
  <si>
    <t xml:space="preserve">Location </t>
  </si>
  <si>
    <t>MPL Applicable</t>
  </si>
  <si>
    <t>Description of Task</t>
  </si>
  <si>
    <t xml:space="preserve">Mat required </t>
  </si>
  <si>
    <t xml:space="preserve">Material Options </t>
  </si>
  <si>
    <t>Maint Act</t>
  </si>
  <si>
    <t xml:space="preserve">Priority </t>
  </si>
  <si>
    <t>C04-LB28</t>
  </si>
  <si>
    <t>LB28-SBUO</t>
  </si>
  <si>
    <t>LB28-YBUO</t>
  </si>
  <si>
    <t>LB28-SPET</t>
  </si>
  <si>
    <t>LB28-YPET</t>
  </si>
  <si>
    <t>LB28-SWLT</t>
  </si>
  <si>
    <t>LB28-YWLT</t>
  </si>
  <si>
    <t>LB28-STVR</t>
  </si>
  <si>
    <t>LB28-YTVR</t>
  </si>
  <si>
    <t>LB28-SWBN</t>
  </si>
  <si>
    <t>LB28-YWBN</t>
  </si>
  <si>
    <t>LB28-SLOS</t>
  </si>
  <si>
    <t>LB28-YLOS</t>
  </si>
  <si>
    <t>LB28</t>
  </si>
  <si>
    <t>ROOIBLOM - BULTFONTEIN</t>
  </si>
  <si>
    <t>C04-LB29</t>
  </si>
  <si>
    <t>LB29-SSST</t>
  </si>
  <si>
    <t>LB29-YSST</t>
  </si>
  <si>
    <t>LB29-SGFE</t>
  </si>
  <si>
    <t>LB29-YGFE</t>
  </si>
  <si>
    <t>LB29-SSDI</t>
  </si>
  <si>
    <t>LB29-YSDI</t>
  </si>
  <si>
    <t>LB29-SBHV</t>
  </si>
  <si>
    <t>LB29-YBHV</t>
  </si>
  <si>
    <t>LB29-SMGE</t>
  </si>
  <si>
    <t>LB29-YMGE</t>
  </si>
  <si>
    <t>LB29</t>
  </si>
  <si>
    <t>VIERFONTEIN - ROOIBLOM</t>
  </si>
  <si>
    <t>C04-LB27</t>
  </si>
  <si>
    <t>LB27</t>
  </si>
  <si>
    <t>WHITES - WELKOM</t>
  </si>
  <si>
    <t>C04-LB69</t>
  </si>
  <si>
    <t xml:space="preserve">LB69-SWOM </t>
  </si>
  <si>
    <t xml:space="preserve">LB69-YWOM </t>
  </si>
  <si>
    <t>C04-LB22</t>
  </si>
  <si>
    <t>LB22-SFDM</t>
  </si>
  <si>
    <t>LB22-YFDM</t>
  </si>
  <si>
    <t>LB22-SODO</t>
  </si>
  <si>
    <t>LB22-YODO</t>
  </si>
  <si>
    <t>LB22-SARD</t>
  </si>
  <si>
    <t>LB22-YARD</t>
  </si>
  <si>
    <t>LB22-SRBM</t>
  </si>
  <si>
    <t>LB22</t>
  </si>
  <si>
    <t>WELKOM - ROOIBLOM</t>
  </si>
  <si>
    <t>C04-LB40</t>
  </si>
  <si>
    <t>LB40 - YKDR</t>
  </si>
  <si>
    <t>KROONSTAD</t>
  </si>
  <si>
    <t>LB40 - YGHLN</t>
  </si>
  <si>
    <t>GUNHILL NORTH</t>
  </si>
  <si>
    <t>LB40 - YGHLS</t>
  </si>
  <si>
    <t>GUNHILL SOUTH</t>
  </si>
  <si>
    <t>LB40 - YNY</t>
  </si>
  <si>
    <t>NORTH YARD</t>
  </si>
  <si>
    <t>LB40 - YKDRC</t>
  </si>
  <si>
    <t>KROONSTAD ERS</t>
  </si>
  <si>
    <t>LB40 - YKDRD</t>
  </si>
  <si>
    <t>KROONSTAD LOCO</t>
  </si>
  <si>
    <t>LB40 - YKDRS</t>
  </si>
  <si>
    <t>KROONSTAD STATION</t>
  </si>
  <si>
    <t>LB40 - YKDRPT</t>
  </si>
  <si>
    <t>KROONSTAD P &amp; T DEPOT</t>
  </si>
  <si>
    <t>LB40 - YKDRK</t>
  </si>
  <si>
    <t>KRUGER YARD</t>
  </si>
  <si>
    <t>LB40 - YKDRG</t>
  </si>
  <si>
    <t>GOODS SHED</t>
  </si>
  <si>
    <t>LB40 - YKDRB</t>
  </si>
  <si>
    <t>BALLOON LINE</t>
  </si>
  <si>
    <t>C04-LB31</t>
  </si>
  <si>
    <t>LB31 - SATT</t>
  </si>
  <si>
    <t>LB31 - YATT</t>
  </si>
  <si>
    <t>LB31 - SGBM</t>
  </si>
  <si>
    <t>LB31 - YGBM</t>
  </si>
  <si>
    <t>LB31 - SVJK</t>
  </si>
  <si>
    <t>LB31 - YVJK</t>
  </si>
  <si>
    <t>LB31</t>
  </si>
  <si>
    <t>WESTLEIGH - VIERFONTEIN</t>
  </si>
  <si>
    <t>C04-LB30</t>
  </si>
  <si>
    <t>LB30 - SVTN</t>
  </si>
  <si>
    <t>LB30 - YVTN</t>
  </si>
  <si>
    <t>LB30</t>
  </si>
  <si>
    <t>VIERFONTEIN - ORKNEY</t>
  </si>
  <si>
    <t>LB69</t>
  </si>
  <si>
    <t>LB40</t>
  </si>
  <si>
    <t xml:space="preserve">MPL </t>
  </si>
  <si>
    <t>Yes</t>
  </si>
  <si>
    <t xml:space="preserve">No </t>
  </si>
  <si>
    <t>No</t>
  </si>
  <si>
    <t>N/A</t>
  </si>
  <si>
    <t>FunctionLocation List</t>
  </si>
  <si>
    <t>CO4LB22</t>
  </si>
  <si>
    <t>CO4LB27</t>
  </si>
  <si>
    <t>CO4LB28</t>
  </si>
  <si>
    <t>CO4LB29</t>
  </si>
  <si>
    <t>CO4LB30</t>
  </si>
  <si>
    <t>CO4LB31</t>
  </si>
  <si>
    <t>CO4LB40</t>
  </si>
  <si>
    <t>CO4LB69</t>
  </si>
  <si>
    <t>ATTIE (S)</t>
  </si>
  <si>
    <t>BULTFONFONTEIN (S)</t>
  </si>
  <si>
    <t>PROTESPAN (S)</t>
  </si>
  <si>
    <t>PROTESPAN (Y)</t>
  </si>
  <si>
    <t>WILLEMSRUS (S)</t>
  </si>
  <si>
    <t>WILLEMSRUS (Y)</t>
  </si>
  <si>
    <t>TIERFONTEIN (S)</t>
  </si>
  <si>
    <t>TIERFONTEIN (Y)</t>
  </si>
  <si>
    <t>WESSELSBRON (S)</t>
  </si>
  <si>
    <t>WESSELSBRON (Y)</t>
  </si>
  <si>
    <t>LOSDORINGS (S)</t>
  </si>
  <si>
    <t>LOSDORINGS (Y)</t>
  </si>
  <si>
    <t>BULTFONFONTEIN (Y)</t>
  </si>
  <si>
    <t>SKOONSPRUIT (S)</t>
  </si>
  <si>
    <t>SKOONSPRUIT (Y)</t>
  </si>
  <si>
    <t>GOLDEN FLEECE (S)</t>
  </si>
  <si>
    <t>GOLDEN FLEECE (Y)</t>
  </si>
  <si>
    <t>SCHUTTESDRAAI (S)</t>
  </si>
  <si>
    <t>SCHUTTESDRAAI (Y)</t>
  </si>
  <si>
    <t>BOTHAVILLE (S)</t>
  </si>
  <si>
    <t>BOTHAVILLE (Y)</t>
  </si>
  <si>
    <t>MIRAGE (S)</t>
  </si>
  <si>
    <t>WELKOM (S)</t>
  </si>
  <si>
    <t>WELKOM (Y)</t>
  </si>
  <si>
    <t>FRIEDESHEIM (S)</t>
  </si>
  <si>
    <t>FRIEDESHEIM (Y)</t>
  </si>
  <si>
    <t>ODENDAALSRUS (S)</t>
  </si>
  <si>
    <t>ODENDAALSRUS (Y)</t>
  </si>
  <si>
    <t>ALLANRIDGE (S)</t>
  </si>
  <si>
    <t>ALLANRIDGE (Y)</t>
  </si>
  <si>
    <t>ROOIBLOM (S)</t>
  </si>
  <si>
    <t>ATTIE (Y)</t>
  </si>
  <si>
    <t>GROENEBLOEM (S)</t>
  </si>
  <si>
    <t>GROENEBLOEM (Y)</t>
  </si>
  <si>
    <t>VILJOENSKROON (S)</t>
  </si>
  <si>
    <t>VILJOENSKROON (Y)</t>
  </si>
  <si>
    <t>VIERFONTEIN  (S)</t>
  </si>
  <si>
    <t>VIERFONTEIN  (Y)</t>
  </si>
  <si>
    <t>DescriptionofTasks</t>
  </si>
  <si>
    <t>FIX JOINTS</t>
  </si>
  <si>
    <t>LEVEL CROSSING STOP BOARD SIGNS</t>
  </si>
  <si>
    <t>OFFLOADING OF RAILS</t>
  </si>
  <si>
    <t>Priority</t>
  </si>
  <si>
    <t>2 - MEDIUM</t>
  </si>
  <si>
    <t>3- HIGH</t>
  </si>
  <si>
    <t>1- LOW</t>
  </si>
  <si>
    <t>MPL from</t>
  </si>
  <si>
    <t xml:space="preserve">MPL to </t>
  </si>
  <si>
    <t>RPM</t>
  </si>
  <si>
    <t>CPM</t>
  </si>
  <si>
    <t>MAB</t>
  </si>
  <si>
    <t>MIB</t>
  </si>
  <si>
    <t>OND</t>
  </si>
  <si>
    <t>MIC</t>
  </si>
  <si>
    <t>MIRAGE (Y)</t>
  </si>
  <si>
    <t xml:space="preserve">Options </t>
  </si>
  <si>
    <t>N\A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</si>
</sst>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3" fillId="2" borderId="0" xfId="0" applyFont="1" applyFill="1"/>
    <xf numFmtId="0" fontId="0" fillId="2" borderId="0" xfId="0" applyFill="1" applyAlignment="1">
      <alignment horizontal="center"/>
    </xf>
    <xf numFmtId="0" fontId="0" fillId="2" borderId="0" xfId="0" applyFill="1"/>
    <xf numFmtId="0" fontId="5" fillId="0" borderId="0" xfId="0" applyFont="1" applyAlignment="1">
      <alignment horizontal="center"/>
    </xf>
    <xf numFmtId="0" fontId="5" fillId="0" borderId="0" xfId="0" applyFont="1"/>
    <xf numFmtId="0" fontId="4" fillId="3" borderId="4" xfId="0" applyFont="1" applyFill="1" applyBorder="1" applyAlignment="1">
      <alignment horizontal="center"/>
    </xf>
    <xf numFmtId="0" fontId="0" fillId="2" borderId="0" xfId="0" applyNumberFormat="1" applyFill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4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44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</xdr:row>
          <xdr:rowOff>57150</xdr:rowOff>
        </xdr:from>
        <xdr:to>
          <xdr:col>24</xdr:col>
          <xdr:colOff>889000</xdr:colOff>
          <xdr:row>4</xdr:row>
          <xdr:rowOff>342900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s/Documents/Academics/4rth%20year/2nd%20semester/Transnet/MonthlyPlanning_projects/Replacing%20Sleepers/MP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hase1"/>
      <sheetName val="FuncLocs"/>
      <sheetName val="WorkCntrData"/>
      <sheetName val="Team Details"/>
      <sheetName val="Equipment number"/>
      <sheetName val="Sheet1"/>
    </sheetNames>
    <sheetDataSet>
      <sheetData sheetId="0"/>
      <sheetData sheetId="1">
        <row r="2">
          <cell r="C2" t="str">
            <v>ABERFELDY</v>
          </cell>
        </row>
        <row r="3">
          <cell r="C3" t="str">
            <v>ABERFELDY</v>
          </cell>
        </row>
        <row r="4">
          <cell r="C4" t="str">
            <v>ABERFELDY</v>
          </cell>
        </row>
        <row r="5">
          <cell r="C5" t="str">
            <v>ABERFELDY - DRIEDEEL</v>
          </cell>
        </row>
        <row r="6">
          <cell r="C6" t="str">
            <v>AFRIKASKOP</v>
          </cell>
        </row>
        <row r="7">
          <cell r="C7" t="str">
            <v>AFRIKASKOP</v>
          </cell>
        </row>
        <row r="8">
          <cell r="C8" t="str">
            <v>AFRIKASKOP</v>
          </cell>
        </row>
        <row r="9">
          <cell r="C9" t="str">
            <v>AFRIKASKOP - CHIVELSTON</v>
          </cell>
        </row>
        <row r="10">
          <cell r="C10" t="str">
            <v>ALLANRIDGE</v>
          </cell>
        </row>
        <row r="11">
          <cell r="C11" t="str">
            <v>ALLANRIDGE</v>
          </cell>
        </row>
        <row r="12">
          <cell r="C12" t="str">
            <v>ALLANRIDGE - ALLANRIDGE</v>
          </cell>
        </row>
        <row r="13">
          <cell r="C13" t="str">
            <v>ALLANRIDGE - ANCONA</v>
          </cell>
        </row>
        <row r="14">
          <cell r="C14" t="str">
            <v>ALLEMAN</v>
          </cell>
        </row>
        <row r="15">
          <cell r="C15" t="str">
            <v>ALLEMAN</v>
          </cell>
        </row>
        <row r="16">
          <cell r="C16" t="str">
            <v>ALLEMAN - KAREE</v>
          </cell>
        </row>
        <row r="17">
          <cell r="C17" t="str">
            <v>ALLEMAN - KAREE</v>
          </cell>
        </row>
        <row r="18">
          <cell r="C18" t="str">
            <v>AMERIKA</v>
          </cell>
        </row>
        <row r="19">
          <cell r="C19" t="str">
            <v>ANCONA</v>
          </cell>
        </row>
        <row r="20">
          <cell r="C20" t="str">
            <v>ANCONA - LOSDORINGS</v>
          </cell>
        </row>
        <row r="21">
          <cell r="C21" t="str">
            <v>ANCONA (I) - BULTFONTEIN (I)</v>
          </cell>
        </row>
        <row r="22">
          <cell r="C22" t="str">
            <v>ANNANDALE</v>
          </cell>
        </row>
        <row r="23">
          <cell r="C23" t="str">
            <v>ANNANDALE</v>
          </cell>
        </row>
        <row r="24">
          <cell r="C24" t="str">
            <v>ANNANDALE</v>
          </cell>
        </row>
        <row r="25">
          <cell r="C25" t="str">
            <v>ANNANDALE - SHERBROOKE</v>
          </cell>
        </row>
        <row r="26">
          <cell r="C26" t="str">
            <v>ANNANDALE - SHERBROOKE</v>
          </cell>
        </row>
        <row r="27">
          <cell r="C27" t="str">
            <v>ARLINGTON</v>
          </cell>
        </row>
        <row r="28">
          <cell r="C28" t="str">
            <v>ARLINGTON</v>
          </cell>
        </row>
        <row r="29">
          <cell r="C29" t="str">
            <v>ARLINGTON - BOBBERT</v>
          </cell>
        </row>
        <row r="30">
          <cell r="C30" t="str">
            <v>ARLINGTON - OOREENKOMS</v>
          </cell>
        </row>
        <row r="31">
          <cell r="C31" t="str">
            <v>ARLINGTON (E) - BETHLEHEM (E)</v>
          </cell>
        </row>
        <row r="32">
          <cell r="C32" t="str">
            <v>ARLINGTON (E) - MARQUARD (I)</v>
          </cell>
        </row>
        <row r="33">
          <cell r="C33" t="str">
            <v>ATBARA</v>
          </cell>
        </row>
        <row r="34">
          <cell r="C34" t="str">
            <v>ATTIE</v>
          </cell>
        </row>
        <row r="35">
          <cell r="C35" t="str">
            <v>ATTIE</v>
          </cell>
        </row>
        <row r="36">
          <cell r="C36" t="str">
            <v>ATTIE - RUSTIG</v>
          </cell>
        </row>
        <row r="37">
          <cell r="C37" t="str">
            <v>BARNEA</v>
          </cell>
        </row>
        <row r="38">
          <cell r="C38" t="str">
            <v>BARNEA</v>
          </cell>
        </row>
        <row r="39">
          <cell r="C39" t="str">
            <v>BARNEA - BETHLEHEM</v>
          </cell>
        </row>
        <row r="40">
          <cell r="C40" t="str">
            <v>BEKERFONTEIN</v>
          </cell>
        </row>
        <row r="41">
          <cell r="C41" t="str">
            <v>BEKERFONTEIN - TIERPOORT</v>
          </cell>
        </row>
        <row r="42">
          <cell r="C42" t="str">
            <v>BEKERFONTEIN 1</v>
          </cell>
        </row>
        <row r="43">
          <cell r="C43" t="str">
            <v>BEKERFONTEIN 2</v>
          </cell>
        </row>
        <row r="44">
          <cell r="C44" t="str">
            <v>BEKERFONTEIN 3</v>
          </cell>
        </row>
        <row r="45">
          <cell r="C45" t="str">
            <v>BEKERFONTEIN 4</v>
          </cell>
        </row>
        <row r="46">
          <cell r="C46" t="str">
            <v>BESEMPAN</v>
          </cell>
        </row>
        <row r="47">
          <cell r="C47" t="str">
            <v>BESEMPAN - TIERFONTEIN</v>
          </cell>
        </row>
        <row r="48">
          <cell r="C48" t="str">
            <v>BETHLEHEM</v>
          </cell>
        </row>
        <row r="49">
          <cell r="C49" t="str">
            <v>BETHLEHEM</v>
          </cell>
        </row>
        <row r="50">
          <cell r="C50" t="str">
            <v>BETHLEHEM</v>
          </cell>
        </row>
        <row r="51">
          <cell r="C51" t="str">
            <v>BETHLEHEM - ANNANDALE</v>
          </cell>
        </row>
        <row r="52">
          <cell r="C52" t="str">
            <v>BETHLEHEM - ANNANDALE</v>
          </cell>
        </row>
        <row r="53">
          <cell r="C53" t="str">
            <v>BETHLEHEM (E) - HARRISMITH (I)</v>
          </cell>
        </row>
        <row r="54">
          <cell r="C54" t="str">
            <v>BETHLEHEM (I) - BETHLEHEM (I)</v>
          </cell>
        </row>
        <row r="55">
          <cell r="C55" t="str">
            <v>BETHLEHEM B</v>
          </cell>
        </row>
        <row r="56">
          <cell r="C56" t="str">
            <v>BETHLEHEM CROSSING</v>
          </cell>
        </row>
        <row r="57">
          <cell r="C57" t="str">
            <v>BETHLEHEM ELEVATOR</v>
          </cell>
        </row>
        <row r="58">
          <cell r="C58" t="str">
            <v>BETHLEHEM LOCO</v>
          </cell>
        </row>
        <row r="59">
          <cell r="C59" t="str">
            <v>BETTIESRUS</v>
          </cell>
        </row>
        <row r="60">
          <cell r="C60" t="str">
            <v>BETTIESRUS - PETRUS STEYN</v>
          </cell>
        </row>
        <row r="61">
          <cell r="C61" t="str">
            <v>BIDDULPH</v>
          </cell>
        </row>
        <row r="62">
          <cell r="C62" t="str">
            <v>BIDDULPH - SENEKAL</v>
          </cell>
        </row>
        <row r="63">
          <cell r="C63" t="str">
            <v>BLOEMFONTEIN</v>
          </cell>
        </row>
        <row r="64">
          <cell r="C64" t="str">
            <v>BLOEMFONTEIN</v>
          </cell>
        </row>
        <row r="65">
          <cell r="C65" t="str">
            <v>BLOEMFONTEIN - BLOEMSPRUIT</v>
          </cell>
        </row>
        <row r="66">
          <cell r="C66" t="str">
            <v>BLOEMFONTEIN - HAMILTON</v>
          </cell>
        </row>
        <row r="67">
          <cell r="C67" t="str">
            <v>BLOEMFONTEIN - HAMILTON</v>
          </cell>
        </row>
        <row r="68">
          <cell r="C68" t="str">
            <v>BLOEMFONTEIN (E) - SANNASPOS (I)</v>
          </cell>
        </row>
        <row r="69">
          <cell r="C69" t="str">
            <v>BLOEMFONTEIN (I) - BLOEMFONTEIN (I)</v>
          </cell>
        </row>
        <row r="70">
          <cell r="C70" t="str">
            <v>BLOEMFONTEIN BOGEL</v>
          </cell>
        </row>
        <row r="71">
          <cell r="C71" t="str">
            <v>BLOEMFONTEIN CARRIGE &amp; WAGON</v>
          </cell>
        </row>
        <row r="72">
          <cell r="C72" t="str">
            <v>BLOEMFONTEIN CATTLE KRAAL</v>
          </cell>
        </row>
        <row r="73">
          <cell r="C73" t="str">
            <v>BLOEMFONTEIN CENTRAL TRANSIT DEPOT</v>
          </cell>
        </row>
        <row r="74">
          <cell r="C74" t="str">
            <v>BLOEMFONTEIN CW MALAN CTC</v>
          </cell>
        </row>
        <row r="75">
          <cell r="C75" t="str">
            <v>BLOEMFONTEIN DIESEL LOCO DEPOT</v>
          </cell>
        </row>
        <row r="76">
          <cell r="C76" t="str">
            <v>BLOEMFONTEIN EASTERN YARD</v>
          </cell>
        </row>
        <row r="77">
          <cell r="C77" t="str">
            <v>BLOEMFONTEIN ELECTRIC LOCO DEPOT</v>
          </cell>
        </row>
        <row r="78">
          <cell r="C78" t="str">
            <v>BLOEMFONTEIN GOODS SHED</v>
          </cell>
        </row>
        <row r="79">
          <cell r="C79" t="str">
            <v>BLOEMFONTEIN GOODSHED</v>
          </cell>
        </row>
        <row r="80">
          <cell r="C80" t="str">
            <v>BLOEMFONTEIN HUMP</v>
          </cell>
        </row>
        <row r="81">
          <cell r="C81" t="str">
            <v>BLOEMFONTEIN INFRA SIDING YARD</v>
          </cell>
        </row>
        <row r="82">
          <cell r="C82" t="str">
            <v>BLOEMFONTEIN MANGANESE YARD</v>
          </cell>
        </row>
        <row r="83">
          <cell r="C83" t="str">
            <v>BLOEMFONTEIN NORTH DEPARTURE</v>
          </cell>
        </row>
        <row r="84">
          <cell r="C84" t="str">
            <v>BLOEMFONTEIN PASSENGER YARD</v>
          </cell>
        </row>
        <row r="85">
          <cell r="C85" t="str">
            <v>BLOEMFONTEIN SOUTH BLOCK CARGO</v>
          </cell>
        </row>
        <row r="86">
          <cell r="C86" t="str">
            <v>BLOEMFONTEIN SOUTH DEPARTURE</v>
          </cell>
        </row>
        <row r="87">
          <cell r="C87" t="str">
            <v>BLOEMFONTEIN SUIDKAS CTC</v>
          </cell>
        </row>
        <row r="88">
          <cell r="C88" t="str">
            <v>BLOEMFONTEIN WAGON STORAGE</v>
          </cell>
        </row>
        <row r="89">
          <cell r="C89" t="str">
            <v>BLOEMFONTEIN WESTERN YARD</v>
          </cell>
        </row>
        <row r="90">
          <cell r="C90" t="str">
            <v>BLOEMFONTEIN-NOORD</v>
          </cell>
        </row>
        <row r="91">
          <cell r="C91" t="str">
            <v>BLOEMFONTEIN-SUID</v>
          </cell>
        </row>
        <row r="92">
          <cell r="C92" t="str">
            <v>BLOEMFONTEN CHANG</v>
          </cell>
        </row>
        <row r="93">
          <cell r="C93" t="str">
            <v>BLOEMFONTEN CW MALAN</v>
          </cell>
        </row>
        <row r="94">
          <cell r="C94" t="str">
            <v>BLOEMFONTEN GOLFCOURCE</v>
          </cell>
        </row>
        <row r="95">
          <cell r="C95" t="str">
            <v>BLOEMFONTEN GOODS</v>
          </cell>
        </row>
        <row r="96">
          <cell r="C96" t="str">
            <v>BLOEMFONTEN LAUNDRY</v>
          </cell>
        </row>
        <row r="97">
          <cell r="C97" t="str">
            <v>BLOEMFONTEN LOCO</v>
          </cell>
        </row>
        <row r="98">
          <cell r="C98" t="str">
            <v>BLOEMFONTEN MARSHAL A</v>
          </cell>
        </row>
        <row r="99">
          <cell r="C99" t="str">
            <v>BLOEMFONTEN MARSHAL A</v>
          </cell>
        </row>
        <row r="100">
          <cell r="C100" t="str">
            <v>BLOEMFONTEN MARSHAL R</v>
          </cell>
        </row>
        <row r="101">
          <cell r="C101" t="str">
            <v>BLOEMFONTEN NEW N</v>
          </cell>
        </row>
        <row r="102">
          <cell r="C102" t="str">
            <v>BLOEMFONTEN RMT</v>
          </cell>
        </row>
        <row r="103">
          <cell r="C103" t="str">
            <v>BLOEMFONTEN STATION</v>
          </cell>
        </row>
        <row r="104">
          <cell r="C104" t="str">
            <v>BLOEMSPRUIT</v>
          </cell>
        </row>
        <row r="105">
          <cell r="C105" t="str">
            <v>BLOEMSPRUIT - KERELAW</v>
          </cell>
        </row>
        <row r="106">
          <cell r="C106" t="str">
            <v>BLYDSKAP</v>
          </cell>
        </row>
        <row r="107">
          <cell r="C107" t="str">
            <v>BLYDSKAP</v>
          </cell>
        </row>
        <row r="108">
          <cell r="C108" t="str">
            <v>BLYDSKAP - HEUWELTOP</v>
          </cell>
        </row>
        <row r="109">
          <cell r="C109" t="str">
            <v>BOBBERT</v>
          </cell>
        </row>
        <row r="110">
          <cell r="C110" t="str">
            <v>BOBBERT - LIBERTAS</v>
          </cell>
        </row>
        <row r="111">
          <cell r="C111" t="str">
            <v>BOLIVIA</v>
          </cell>
        </row>
        <row r="112">
          <cell r="C112" t="str">
            <v>BOLIVIA</v>
          </cell>
        </row>
        <row r="113">
          <cell r="C113" t="str">
            <v>BOLIVIA - HAAKS</v>
          </cell>
        </row>
        <row r="114">
          <cell r="C114" t="str">
            <v>BOSRAND</v>
          </cell>
        </row>
        <row r="115">
          <cell r="C115" t="str">
            <v>BOSRAND</v>
          </cell>
        </row>
        <row r="116">
          <cell r="C116" t="str">
            <v>BOSRAND</v>
          </cell>
        </row>
        <row r="117">
          <cell r="C117" t="str">
            <v>BOSRAND - GENEVA</v>
          </cell>
        </row>
        <row r="118">
          <cell r="C118" t="str">
            <v>BOSRAND - GENEVA</v>
          </cell>
        </row>
        <row r="119">
          <cell r="C119" t="str">
            <v>BOSRAND-GUNHILL</v>
          </cell>
        </row>
        <row r="120">
          <cell r="C120" t="str">
            <v>BOTHAVILLE</v>
          </cell>
        </row>
        <row r="121">
          <cell r="C121" t="str">
            <v>BOTHAVILLE</v>
          </cell>
        </row>
        <row r="122">
          <cell r="C122" t="str">
            <v>BOTHAVILLE - SCHUTTESDRAAI</v>
          </cell>
        </row>
        <row r="123">
          <cell r="C123" t="str">
            <v>BRANDFORT</v>
          </cell>
        </row>
        <row r="124">
          <cell r="C124" t="str">
            <v>BRANDFORT</v>
          </cell>
        </row>
        <row r="125">
          <cell r="C125" t="str">
            <v>BRANDFORT</v>
          </cell>
        </row>
        <row r="126">
          <cell r="C126" t="str">
            <v>BRANDFORT</v>
          </cell>
        </row>
        <row r="127">
          <cell r="C127" t="str">
            <v>BRANDFORT - ALLEMAN</v>
          </cell>
        </row>
        <row r="128">
          <cell r="C128" t="str">
            <v>BRANDFORT - ALLEMAN</v>
          </cell>
        </row>
        <row r="129">
          <cell r="C129" t="str">
            <v>BRANDFORT (546208)</v>
          </cell>
        </row>
        <row r="130">
          <cell r="C130" t="str">
            <v>BRANDHOEK</v>
          </cell>
        </row>
        <row r="131">
          <cell r="C131" t="str">
            <v>BRANDHOEK - ARLINGTON</v>
          </cell>
        </row>
        <row r="132">
          <cell r="C132" t="str">
            <v>BRANDLAAGTE</v>
          </cell>
        </row>
        <row r="133">
          <cell r="C133" t="str">
            <v>BRANDLAAGTE - SLABBERTS</v>
          </cell>
        </row>
        <row r="134">
          <cell r="C134" t="str">
            <v>BREëDAL</v>
          </cell>
        </row>
        <row r="135">
          <cell r="C135" t="str">
            <v>BREëDAL</v>
          </cell>
        </row>
        <row r="136">
          <cell r="C136" t="str">
            <v>BREëDAL</v>
          </cell>
        </row>
        <row r="137">
          <cell r="C137" t="str">
            <v>BREëDAL - GLEN LENNIE</v>
          </cell>
        </row>
        <row r="138">
          <cell r="C138" t="str">
            <v>BULTFONTEIN</v>
          </cell>
        </row>
        <row r="139">
          <cell r="C139" t="str">
            <v>BULTFONTEIN</v>
          </cell>
        </row>
        <row r="140">
          <cell r="C140" t="str">
            <v>CHIVELSTON</v>
          </cell>
        </row>
        <row r="141">
          <cell r="C141" t="str">
            <v>CHIVELSTON - ABERFELDY</v>
          </cell>
        </row>
        <row r="142">
          <cell r="C142" t="str">
            <v>CHRISBOUW</v>
          </cell>
        </row>
        <row r="143">
          <cell r="C143" t="str">
            <v>CHRISBOUW</v>
          </cell>
        </row>
        <row r="144">
          <cell r="C144" t="str">
            <v>CHRISBOUW - ALLANRIDGE</v>
          </cell>
        </row>
        <row r="145">
          <cell r="C145" t="str">
            <v>CLOCOLAN</v>
          </cell>
        </row>
        <row r="146">
          <cell r="C146" t="str">
            <v>CLOCOLAN</v>
          </cell>
        </row>
        <row r="147">
          <cell r="C147" t="str">
            <v>CLOCOLAN - GUMTREE</v>
          </cell>
        </row>
        <row r="148">
          <cell r="C148" t="str">
            <v>CLOCOLAN (545597)</v>
          </cell>
        </row>
        <row r="149">
          <cell r="C149" t="str">
            <v>CLOCOLAN (545716)</v>
          </cell>
        </row>
        <row r="150">
          <cell r="C150" t="str">
            <v>CLOCOLAN (545775)</v>
          </cell>
        </row>
        <row r="151">
          <cell r="C151" t="str">
            <v>CLOCOLAN (545902)</v>
          </cell>
        </row>
        <row r="152">
          <cell r="C152" t="str">
            <v>CLOCOLAN (546267)</v>
          </cell>
        </row>
        <row r="153">
          <cell r="C153" t="str">
            <v>DANIELSRUS</v>
          </cell>
        </row>
        <row r="154">
          <cell r="C154" t="str">
            <v>DANIELSRUS</v>
          </cell>
        </row>
        <row r="155">
          <cell r="C155" t="str">
            <v>DANIELSRUS - TRENTHAM</v>
          </cell>
        </row>
        <row r="156">
          <cell r="C156" t="str">
            <v>DASKLIP</v>
          </cell>
        </row>
        <row r="157">
          <cell r="C157" t="str">
            <v>DASKLIP - FRANKFORT</v>
          </cell>
        </row>
        <row r="158">
          <cell r="C158" t="str">
            <v>DOVER</v>
          </cell>
        </row>
        <row r="159">
          <cell r="C159" t="str">
            <v>DOVER</v>
          </cell>
        </row>
        <row r="160">
          <cell r="C160" t="str">
            <v>DOVER - GREENLANDS</v>
          </cell>
        </row>
        <row r="161">
          <cell r="C161" t="str">
            <v>DOVER - WEIVELD</v>
          </cell>
        </row>
        <row r="162">
          <cell r="C162" t="str">
            <v>DOVER (E) - VREDEFORT (I)</v>
          </cell>
        </row>
        <row r="163">
          <cell r="C163" t="str">
            <v>DOVER (E) - WOLWEHOEK (I)</v>
          </cell>
        </row>
        <row r="164">
          <cell r="C164" t="str">
            <v>DOVER (I) - WESTLEIGH (E)</v>
          </cell>
        </row>
        <row r="165">
          <cell r="C165" t="str">
            <v>DRIEDEEL</v>
          </cell>
        </row>
        <row r="166">
          <cell r="C166" t="str">
            <v>DRIEDEEL - BREëDAL</v>
          </cell>
        </row>
        <row r="167">
          <cell r="C167" t="str">
            <v>EDENBURG</v>
          </cell>
        </row>
        <row r="168">
          <cell r="C168" t="str">
            <v>EDENBURG</v>
          </cell>
        </row>
        <row r="169">
          <cell r="C169" t="str">
            <v>EDENBURG - MERINORANT</v>
          </cell>
        </row>
        <row r="170">
          <cell r="C170" t="str">
            <v>EENSGEVONDEN</v>
          </cell>
        </row>
        <row r="171">
          <cell r="C171" t="str">
            <v>EENSGEVONDEN</v>
          </cell>
        </row>
        <row r="172">
          <cell r="C172" t="str">
            <v>EENSGEVONDEN</v>
          </cell>
        </row>
        <row r="173">
          <cell r="C173" t="str">
            <v>EENSGEVONDEN - HOUTENBECK</v>
          </cell>
        </row>
        <row r="174">
          <cell r="C174" t="str">
            <v>EENSGEVONDEN - HOUTENBECK</v>
          </cell>
        </row>
        <row r="175">
          <cell r="C175" t="str">
            <v>EERAM</v>
          </cell>
        </row>
        <row r="176">
          <cell r="C176" t="str">
            <v>EERAM - MEULRIVIER</v>
          </cell>
        </row>
        <row r="177">
          <cell r="C177" t="str">
            <v>EERSTEKAMP</v>
          </cell>
        </row>
        <row r="178">
          <cell r="C178" t="str">
            <v>EERSTEKAMP</v>
          </cell>
        </row>
        <row r="179">
          <cell r="C179" t="str">
            <v>EERSTEKAMP - CLOCOLAN</v>
          </cell>
        </row>
        <row r="180">
          <cell r="C180" t="str">
            <v>EHRLICHPARK</v>
          </cell>
        </row>
        <row r="181">
          <cell r="C181" t="str">
            <v>ERFDEEL</v>
          </cell>
        </row>
        <row r="182">
          <cell r="C182" t="str">
            <v>ERFDEEL - WESSELSBRON</v>
          </cell>
        </row>
        <row r="183">
          <cell r="C183" t="str">
            <v>ERP - SPRINGFONTEIN</v>
          </cell>
        </row>
        <row r="184">
          <cell r="C184" t="str">
            <v>ESTOIRE</v>
          </cell>
        </row>
        <row r="185">
          <cell r="C185" t="str">
            <v>FEATHERSTONE</v>
          </cell>
        </row>
        <row r="186">
          <cell r="C186" t="str">
            <v>FEATHERSTONE</v>
          </cell>
        </row>
        <row r="187">
          <cell r="C187" t="str">
            <v>FEATHERSTONE</v>
          </cell>
        </row>
        <row r="188">
          <cell r="C188" t="str">
            <v>FEATHERSTONE - PATRYSDRAAI</v>
          </cell>
        </row>
        <row r="189">
          <cell r="C189" t="str">
            <v>FEATHERSTONE - PATRYSDRAAI</v>
          </cell>
        </row>
        <row r="190">
          <cell r="C190" t="str">
            <v>FERREIRA</v>
          </cell>
        </row>
        <row r="191">
          <cell r="C191" t="str">
            <v>FERREIRA - KAALSPRUIT</v>
          </cell>
        </row>
        <row r="192">
          <cell r="C192" t="str">
            <v>FICKSBURG</v>
          </cell>
        </row>
        <row r="193">
          <cell r="C193" t="str">
            <v>FICKSBURG</v>
          </cell>
        </row>
        <row r="194">
          <cell r="C194" t="str">
            <v>FICKSBURG - SEKONYELA</v>
          </cell>
        </row>
        <row r="195">
          <cell r="C195" t="str">
            <v>FICKSBURG (540374)</v>
          </cell>
        </row>
        <row r="196">
          <cell r="C196" t="str">
            <v>FICKSBURG (541095)</v>
          </cell>
        </row>
        <row r="197">
          <cell r="C197" t="str">
            <v>FICKSBURG (541125)</v>
          </cell>
        </row>
        <row r="198">
          <cell r="C198" t="str">
            <v>FICKSBURG (541133)</v>
          </cell>
        </row>
        <row r="199">
          <cell r="C199" t="str">
            <v>FICKSBURG (541141)</v>
          </cell>
        </row>
        <row r="200">
          <cell r="C200" t="str">
            <v>FICKSBURG (54117)</v>
          </cell>
        </row>
        <row r="201">
          <cell r="C201" t="str">
            <v>FICKSBURG (546445)</v>
          </cell>
        </row>
        <row r="202">
          <cell r="C202" t="str">
            <v>FOURIESBURG</v>
          </cell>
        </row>
        <row r="203">
          <cell r="C203" t="str">
            <v>FOURIESBURG</v>
          </cell>
        </row>
        <row r="204">
          <cell r="C204" t="str">
            <v>FOURIESBURG - SHERIDAN</v>
          </cell>
        </row>
        <row r="205">
          <cell r="C205" t="str">
            <v>FRANKFORT</v>
          </cell>
        </row>
        <row r="206">
          <cell r="C206" t="str">
            <v>FRANKFORT</v>
          </cell>
        </row>
        <row r="207">
          <cell r="C207" t="str">
            <v>FRANKFORT - MAKOUPAN</v>
          </cell>
        </row>
        <row r="208">
          <cell r="C208" t="str">
            <v>FRIEDESHEIM</v>
          </cell>
        </row>
        <row r="209">
          <cell r="C209" t="str">
            <v>FRIEDESHEIM</v>
          </cell>
        </row>
        <row r="210">
          <cell r="C210" t="str">
            <v>FRIEDESHEIM - ODENDAALSRUS</v>
          </cell>
        </row>
        <row r="211">
          <cell r="C211" t="str">
            <v>GENERAALSNEK</v>
          </cell>
        </row>
        <row r="212">
          <cell r="C212" t="str">
            <v>GENERAALSNEK</v>
          </cell>
        </row>
        <row r="213">
          <cell r="C213" t="str">
            <v>GENERAALSNEK - MOUNT MORKEL</v>
          </cell>
        </row>
        <row r="214">
          <cell r="C214" t="str">
            <v>GENEVA</v>
          </cell>
        </row>
        <row r="215">
          <cell r="C215" t="str">
            <v>GENEVA</v>
          </cell>
        </row>
        <row r="216">
          <cell r="C216" t="str">
            <v>GENEVA</v>
          </cell>
        </row>
        <row r="217">
          <cell r="C217" t="str">
            <v>GENEVA - HOLFONTEIN</v>
          </cell>
        </row>
        <row r="218">
          <cell r="C218" t="str">
            <v>GENEVA - HOLFONTEIN</v>
          </cell>
        </row>
        <row r="219">
          <cell r="C219" t="str">
            <v>GENEVA (546151)</v>
          </cell>
        </row>
        <row r="220">
          <cell r="C220" t="str">
            <v>GHL - BOSRAND</v>
          </cell>
        </row>
        <row r="221">
          <cell r="C221" t="str">
            <v>GLEN</v>
          </cell>
        </row>
        <row r="222">
          <cell r="C222" t="str">
            <v>GLEN</v>
          </cell>
        </row>
        <row r="223">
          <cell r="C223" t="str">
            <v>GLEN - VAN TONDER</v>
          </cell>
        </row>
        <row r="224">
          <cell r="C224" t="str">
            <v>GLEN - VAN TONDER</v>
          </cell>
        </row>
        <row r="225">
          <cell r="C225" t="str">
            <v>GLEN HARMONY</v>
          </cell>
        </row>
        <row r="226">
          <cell r="C226" t="str">
            <v>GLEN HARMONY</v>
          </cell>
        </row>
        <row r="227">
          <cell r="C227" t="str">
            <v>GLEN LENNIE</v>
          </cell>
        </row>
        <row r="228">
          <cell r="C228" t="str">
            <v>GLEN LENNIE</v>
          </cell>
        </row>
        <row r="229">
          <cell r="C229" t="str">
            <v>GLEN LENNIE - RIVIERDRAAI</v>
          </cell>
        </row>
        <row r="230">
          <cell r="C230" t="str">
            <v>GLEN P&amp;L</v>
          </cell>
        </row>
        <row r="231">
          <cell r="C231" t="str">
            <v>GLEN SUPPLY</v>
          </cell>
        </row>
        <row r="232">
          <cell r="C232" t="str">
            <v>GOLDEN FLEECE</v>
          </cell>
        </row>
        <row r="233">
          <cell r="C233" t="str">
            <v>GOLDEN FLEECE</v>
          </cell>
        </row>
        <row r="234">
          <cell r="C234" t="str">
            <v>GOLDEN FLEECE - SKOONSPRUIT</v>
          </cell>
        </row>
        <row r="235">
          <cell r="C235" t="str">
            <v>GREENLANDS</v>
          </cell>
        </row>
        <row r="236">
          <cell r="C236" t="str">
            <v>GREENLANDS</v>
          </cell>
        </row>
        <row r="237">
          <cell r="C237" t="str">
            <v>GREENLANDS</v>
          </cell>
        </row>
        <row r="238">
          <cell r="C238" t="str">
            <v>GREENLANDS</v>
          </cell>
        </row>
        <row r="239">
          <cell r="C239" t="str">
            <v>GREENLANDS - LEEUSTROOM</v>
          </cell>
        </row>
        <row r="240">
          <cell r="C240" t="str">
            <v>GREENLANDS - LEEUSTROOM</v>
          </cell>
        </row>
        <row r="241">
          <cell r="C241" t="str">
            <v>GROENEBLOEM</v>
          </cell>
        </row>
        <row r="242">
          <cell r="C242" t="str">
            <v>GROENEBLOEM</v>
          </cell>
        </row>
        <row r="243">
          <cell r="C243" t="str">
            <v>GROENEBLOEM - VILJOENSKROON</v>
          </cell>
        </row>
        <row r="244">
          <cell r="C244" t="str">
            <v>GROTTENBURG</v>
          </cell>
        </row>
        <row r="245">
          <cell r="C245" t="str">
            <v>GROTTENBURG - RYEFORD</v>
          </cell>
        </row>
        <row r="246">
          <cell r="C246" t="str">
            <v>GUMTREE</v>
          </cell>
        </row>
        <row r="247">
          <cell r="C247" t="str">
            <v>GUMTREE</v>
          </cell>
        </row>
        <row r="248">
          <cell r="C248" t="str">
            <v>GUMTREE - OWANTY</v>
          </cell>
        </row>
        <row r="249">
          <cell r="C249" t="str">
            <v>GUNHILL</v>
          </cell>
        </row>
        <row r="250">
          <cell r="C250" t="str">
            <v>GUNHILL</v>
          </cell>
        </row>
        <row r="251">
          <cell r="C251" t="str">
            <v>GUNHILL - BOSRAND</v>
          </cell>
        </row>
        <row r="252">
          <cell r="C252" t="str">
            <v>GUNHILL - FEATHERSTONE</v>
          </cell>
        </row>
        <row r="253">
          <cell r="C253" t="str">
            <v>GUNHILL (E) - ARLINGTON (I)</v>
          </cell>
        </row>
        <row r="254">
          <cell r="C254" t="str">
            <v>GUNHILL F</v>
          </cell>
        </row>
        <row r="255">
          <cell r="C255" t="str">
            <v>GUNHILL H</v>
          </cell>
        </row>
        <row r="256">
          <cell r="C256" t="str">
            <v>GUNHILL NORTH</v>
          </cell>
        </row>
        <row r="257">
          <cell r="C257" t="str">
            <v>GUNHILL SOUTH</v>
          </cell>
        </row>
        <row r="258">
          <cell r="C258" t="str">
            <v>HAAKS</v>
          </cell>
        </row>
        <row r="259">
          <cell r="C259" t="str">
            <v>HAAKS</v>
          </cell>
        </row>
        <row r="260">
          <cell r="C260" t="str">
            <v>HAAKS - DANIELSRUS</v>
          </cell>
        </row>
        <row r="261">
          <cell r="C261" t="str">
            <v>HAMILTON</v>
          </cell>
        </row>
        <row r="262">
          <cell r="C262" t="str">
            <v>HAMILTON</v>
          </cell>
        </row>
        <row r="263">
          <cell r="C263" t="str">
            <v>HAMILTON</v>
          </cell>
        </row>
        <row r="264">
          <cell r="C264" t="str">
            <v>HAMILTON - ERP</v>
          </cell>
        </row>
        <row r="265">
          <cell r="C265" t="str">
            <v>HAMILTON - RIFLE RANGE</v>
          </cell>
        </row>
        <row r="266">
          <cell r="C266" t="str">
            <v>HAMILTON (E) - BLOEMFONTEIN (E)</v>
          </cell>
        </row>
        <row r="267">
          <cell r="C267" t="str">
            <v>HAMILTON (E) - SPRINGFONTEIN (E)</v>
          </cell>
        </row>
        <row r="268">
          <cell r="C268" t="str">
            <v>HAMILTON (I) - HAMILTON (I)</v>
          </cell>
        </row>
        <row r="269">
          <cell r="C269" t="str">
            <v>HAMILTON CTC</v>
          </cell>
        </row>
        <row r="270">
          <cell r="C270" t="str">
            <v>HARMONIE SUB</v>
          </cell>
        </row>
        <row r="271">
          <cell r="C271" t="str">
            <v>HARRISMITH</v>
          </cell>
        </row>
        <row r="272">
          <cell r="C272" t="str">
            <v>HARRISMITH</v>
          </cell>
        </row>
        <row r="273">
          <cell r="C273" t="str">
            <v>HARRISMITH</v>
          </cell>
        </row>
        <row r="274">
          <cell r="C274" t="str">
            <v>HARRISMITH - EERAM</v>
          </cell>
        </row>
        <row r="275">
          <cell r="C275" t="str">
            <v>HARRISMITH (E) - WARDEN (I)</v>
          </cell>
        </row>
        <row r="276">
          <cell r="C276" t="str">
            <v>HEILBRON</v>
          </cell>
        </row>
        <row r="277">
          <cell r="C277" t="str">
            <v>HEILBRON</v>
          </cell>
        </row>
        <row r="278">
          <cell r="C278" t="str">
            <v>HEILBRON - SYFERKUIL</v>
          </cell>
        </row>
        <row r="279">
          <cell r="C279" t="str">
            <v>HENNENMAN</v>
          </cell>
        </row>
        <row r="280">
          <cell r="C280" t="str">
            <v>HENNENMAN</v>
          </cell>
        </row>
        <row r="281">
          <cell r="C281" t="str">
            <v>HENNENMAN</v>
          </cell>
        </row>
        <row r="282">
          <cell r="C282" t="str">
            <v>HENNENMAN - WHITES</v>
          </cell>
        </row>
        <row r="283">
          <cell r="C283" t="str">
            <v>HENNENMAN - WHITES</v>
          </cell>
        </row>
        <row r="284">
          <cell r="C284" t="str">
            <v>HERTZBERG</v>
          </cell>
        </row>
        <row r="285">
          <cell r="C285" t="str">
            <v>HERTZBERG - WURASOORD</v>
          </cell>
        </row>
        <row r="286">
          <cell r="C286" t="str">
            <v>HERTZBERG 1</v>
          </cell>
        </row>
        <row r="287">
          <cell r="C287" t="str">
            <v>HERTZBERG 2</v>
          </cell>
        </row>
        <row r="288">
          <cell r="C288" t="str">
            <v>Heuingspruit 103/15</v>
          </cell>
        </row>
        <row r="289">
          <cell r="C289" t="str">
            <v>HEUNINGSPRUIT</v>
          </cell>
        </row>
        <row r="290">
          <cell r="C290" t="str">
            <v>HEUNINGSPRUIT</v>
          </cell>
        </row>
        <row r="291">
          <cell r="C291" t="str">
            <v>HEUNINGSPRUIT</v>
          </cell>
        </row>
        <row r="292">
          <cell r="C292" t="str">
            <v>HEUNINGSPRUIT - VERBETERING</v>
          </cell>
        </row>
        <row r="293">
          <cell r="C293" t="str">
            <v>HEUNINGSPRUIT - WESTLEIGH</v>
          </cell>
        </row>
        <row r="294">
          <cell r="C294" t="str">
            <v>HEUWELTOP</v>
          </cell>
        </row>
        <row r="295">
          <cell r="C295" t="str">
            <v>HEUWELTOP - REITZ</v>
          </cell>
        </row>
        <row r="296">
          <cell r="C296" t="str">
            <v>HOLFONTEIN</v>
          </cell>
        </row>
        <row r="297">
          <cell r="C297" t="str">
            <v>HOLFONTEIN</v>
          </cell>
        </row>
        <row r="298">
          <cell r="C298" t="str">
            <v>HOLFONTEIN - HENNENMAN</v>
          </cell>
        </row>
        <row r="299">
          <cell r="C299" t="str">
            <v>HOLFONTEIN - HENNENMAN</v>
          </cell>
        </row>
        <row r="300">
          <cell r="C300" t="str">
            <v>HOOGFONTEIN</v>
          </cell>
        </row>
        <row r="301">
          <cell r="C301" t="str">
            <v>HOOGFONTEIN - MODDERPOORT</v>
          </cell>
        </row>
        <row r="302">
          <cell r="C302" t="str">
            <v>HOOGTE</v>
          </cell>
        </row>
        <row r="303">
          <cell r="C303" t="str">
            <v>HOOGTE - RACHAN</v>
          </cell>
        </row>
        <row r="304">
          <cell r="C304" t="str">
            <v>HOOGTELL1-SHOO-STR</v>
          </cell>
        </row>
        <row r="305">
          <cell r="C305" t="str">
            <v>HOUTENBECK</v>
          </cell>
        </row>
        <row r="306">
          <cell r="C306" t="str">
            <v>HOUTENBECK</v>
          </cell>
        </row>
        <row r="307">
          <cell r="C307" t="str">
            <v>HOUTENBECK - BRANDFORT</v>
          </cell>
        </row>
        <row r="308">
          <cell r="C308" t="str">
            <v>HOUTENBECK - BRANDFORT</v>
          </cell>
        </row>
        <row r="309">
          <cell r="C309" t="str">
            <v>HOUTENBECK - HOUTENBECK</v>
          </cell>
        </row>
        <row r="310">
          <cell r="C310" t="str">
            <v>HOUTNEK SUB</v>
          </cell>
        </row>
        <row r="311">
          <cell r="C311" t="str">
            <v>IONIA</v>
          </cell>
        </row>
        <row r="312">
          <cell r="C312" t="str">
            <v>IONIA - GENERAALSNEK</v>
          </cell>
        </row>
        <row r="313">
          <cell r="C313" t="str">
            <v>JOHANNASRUS</v>
          </cell>
        </row>
        <row r="314">
          <cell r="C314" t="str">
            <v>JOHANNASRUS - WINDFIELD</v>
          </cell>
        </row>
        <row r="315">
          <cell r="C315" t="str">
            <v>JORDAAN</v>
          </cell>
        </row>
        <row r="316">
          <cell r="C316" t="str">
            <v>JORDAAN</v>
          </cell>
        </row>
        <row r="317">
          <cell r="C317" t="str">
            <v>JORDAAN</v>
          </cell>
        </row>
        <row r="318">
          <cell r="C318" t="str">
            <v>JORDAAN - KROONSTAD</v>
          </cell>
        </row>
        <row r="319">
          <cell r="C319" t="str">
            <v>KAALLAAGTE</v>
          </cell>
        </row>
        <row r="320">
          <cell r="C320" t="str">
            <v>KAALLAAGTE</v>
          </cell>
        </row>
        <row r="321">
          <cell r="C321" t="str">
            <v>KAALLAAGTE</v>
          </cell>
        </row>
        <row r="322">
          <cell r="C322" t="str">
            <v>KAALLAAGTE - VALSRIVIER</v>
          </cell>
        </row>
        <row r="323">
          <cell r="C323" t="str">
            <v>KAALSPRUIT</v>
          </cell>
        </row>
        <row r="324">
          <cell r="C324" t="str">
            <v>KAALSPRUIT - BEKERFONTEIN</v>
          </cell>
        </row>
        <row r="325">
          <cell r="C325" t="str">
            <v>KALKVLAKTE</v>
          </cell>
        </row>
        <row r="326">
          <cell r="C326" t="str">
            <v>KALKVLAKTE</v>
          </cell>
        </row>
        <row r="327">
          <cell r="C327" t="str">
            <v>KALKVLAKTE - VIRGINIA</v>
          </cell>
        </row>
        <row r="328">
          <cell r="C328" t="str">
            <v>KALKVLAKTE - VIRGINIA</v>
          </cell>
        </row>
        <row r="329">
          <cell r="C329" t="str">
            <v>KAREE</v>
          </cell>
        </row>
        <row r="330">
          <cell r="C330" t="str">
            <v>KAREE</v>
          </cell>
        </row>
        <row r="331">
          <cell r="C331" t="str">
            <v>KAREE</v>
          </cell>
        </row>
        <row r="332">
          <cell r="C332" t="str">
            <v>KAREE - GLEN</v>
          </cell>
        </row>
        <row r="333">
          <cell r="C333" t="str">
            <v>KAREE - GLEN</v>
          </cell>
        </row>
        <row r="334">
          <cell r="C334" t="str">
            <v>KAROOKOM - MIRAGE</v>
          </cell>
        </row>
        <row r="335">
          <cell r="C335" t="str">
            <v>KERELAW</v>
          </cell>
        </row>
        <row r="336">
          <cell r="C336" t="str">
            <v>KERELAW - SANNASPOS</v>
          </cell>
        </row>
        <row r="337">
          <cell r="C337" t="str">
            <v>KERSSLAG</v>
          </cell>
        </row>
        <row r="338">
          <cell r="C338" t="str">
            <v>KERSSLAG</v>
          </cell>
        </row>
        <row r="339">
          <cell r="C339" t="str">
            <v>KERSSLAG - AFRIKASKOP</v>
          </cell>
        </row>
        <row r="340">
          <cell r="C340" t="str">
            <v>KILMARNOCK</v>
          </cell>
        </row>
        <row r="341">
          <cell r="C341" t="str">
            <v>KILMARNOCK</v>
          </cell>
        </row>
        <row r="342">
          <cell r="C342" t="str">
            <v>KILMARNOCK - EERSTEKAMP</v>
          </cell>
        </row>
        <row r="343">
          <cell r="C343" t="str">
            <v>KOMMANDONEK</v>
          </cell>
        </row>
        <row r="344">
          <cell r="C344" t="str">
            <v>KOMMANDONEK</v>
          </cell>
        </row>
        <row r="345">
          <cell r="C345" t="str">
            <v>KOMMANDONEK - IONIA</v>
          </cell>
        </row>
        <row r="346">
          <cell r="C346" t="str">
            <v>KOMSPRUIT</v>
          </cell>
        </row>
        <row r="347">
          <cell r="C347" t="str">
            <v>KOMSPRUIT</v>
          </cell>
        </row>
        <row r="348">
          <cell r="C348" t="str">
            <v>KOMSPRUIT</v>
          </cell>
        </row>
        <row r="349">
          <cell r="C349" t="str">
            <v>KOMSPRUIT - YARIMA</v>
          </cell>
        </row>
        <row r="350">
          <cell r="C350" t="str">
            <v>KOPPIES</v>
          </cell>
        </row>
        <row r="351">
          <cell r="C351" t="str">
            <v>KOPPIES</v>
          </cell>
        </row>
        <row r="352">
          <cell r="C352" t="str">
            <v>KOPPIES - ROOIWAL</v>
          </cell>
        </row>
        <row r="353">
          <cell r="C353" t="str">
            <v>KOPPIES (542458)</v>
          </cell>
        </row>
        <row r="354">
          <cell r="C354" t="str">
            <v>KOPPIES (542466)</v>
          </cell>
        </row>
        <row r="355">
          <cell r="C355" t="str">
            <v>KOPPIES (542482)</v>
          </cell>
        </row>
        <row r="356">
          <cell r="C356" t="str">
            <v>KOPPIES (542504)</v>
          </cell>
        </row>
        <row r="357">
          <cell r="C357" t="str">
            <v>KORUS</v>
          </cell>
        </row>
        <row r="358">
          <cell r="C358" t="str">
            <v>KORUS - TOPPUNT</v>
          </cell>
        </row>
        <row r="359">
          <cell r="C359" t="str">
            <v>KRANSFONTEIN</v>
          </cell>
        </row>
        <row r="360">
          <cell r="C360" t="str">
            <v>KRANSFONTEIN</v>
          </cell>
        </row>
        <row r="361">
          <cell r="C361" t="str">
            <v>KRANSFONTEIN</v>
          </cell>
        </row>
        <row r="362">
          <cell r="C362" t="str">
            <v>KRANSFONTEIN - KERSSLAG</v>
          </cell>
        </row>
        <row r="363">
          <cell r="C363" t="str">
            <v>KRIEKDRAAI</v>
          </cell>
        </row>
        <row r="364">
          <cell r="C364" t="str">
            <v>KRIEKDRAAI - MEETS</v>
          </cell>
        </row>
        <row r="365">
          <cell r="C365" t="str">
            <v>KROONSTAD</v>
          </cell>
        </row>
        <row r="366">
          <cell r="C366" t="str">
            <v>KROONSTAD</v>
          </cell>
        </row>
        <row r="367">
          <cell r="C367" t="str">
            <v>KROONSTAD</v>
          </cell>
        </row>
        <row r="368">
          <cell r="C368" t="str">
            <v>KROONSTAD - BOSRAND</v>
          </cell>
        </row>
        <row r="369">
          <cell r="C369" t="str">
            <v>KROONSTAD - GUNHILL</v>
          </cell>
        </row>
        <row r="370">
          <cell r="C370" t="str">
            <v>KROONSTAD ()</v>
          </cell>
        </row>
        <row r="371">
          <cell r="C371" t="str">
            <v>KROONSTAD (541214)</v>
          </cell>
        </row>
        <row r="372">
          <cell r="C372" t="str">
            <v>KROONSTAD (541222)</v>
          </cell>
        </row>
        <row r="373">
          <cell r="C373" t="str">
            <v>KROONSTAD (541249)</v>
          </cell>
        </row>
        <row r="374">
          <cell r="C374" t="str">
            <v>KROONSTAD (54126)</v>
          </cell>
        </row>
        <row r="375">
          <cell r="C375" t="str">
            <v>KROONSTAD (541281)</v>
          </cell>
        </row>
        <row r="376">
          <cell r="C376" t="str">
            <v>KROONSTAD (541311)</v>
          </cell>
        </row>
        <row r="377">
          <cell r="C377" t="str">
            <v>KROONSTAD (541346)</v>
          </cell>
        </row>
        <row r="378">
          <cell r="C378" t="str">
            <v>KROONSTAD (541362)</v>
          </cell>
        </row>
        <row r="379">
          <cell r="C379" t="str">
            <v>KROONSTAD (541389)</v>
          </cell>
        </row>
        <row r="380">
          <cell r="C380" t="str">
            <v>KROONSTAD (541397)</v>
          </cell>
        </row>
        <row r="381">
          <cell r="C381" t="str">
            <v>KROONSTAD (541427)</v>
          </cell>
        </row>
        <row r="382">
          <cell r="C382" t="str">
            <v>KROONSTAD (541435)</v>
          </cell>
        </row>
        <row r="383">
          <cell r="C383" t="str">
            <v>KROONSTAD (542512)</v>
          </cell>
        </row>
        <row r="384">
          <cell r="C384" t="str">
            <v>KROONSTAD (542547)</v>
          </cell>
        </row>
        <row r="385">
          <cell r="C385" t="str">
            <v>KROONSTAD (542555)</v>
          </cell>
        </row>
        <row r="386">
          <cell r="C386" t="str">
            <v>KROONSTAD (542563)</v>
          </cell>
        </row>
        <row r="387">
          <cell r="C387" t="str">
            <v>KROONSTAD (542598)</v>
          </cell>
        </row>
        <row r="388">
          <cell r="C388" t="str">
            <v>KROONSTAD (542601)</v>
          </cell>
        </row>
        <row r="389">
          <cell r="C389" t="str">
            <v>KROONSTAD (542628)</v>
          </cell>
        </row>
        <row r="390">
          <cell r="C390" t="str">
            <v>KROONSTAD (542644)</v>
          </cell>
        </row>
        <row r="391">
          <cell r="C391" t="str">
            <v>KROONSTAD (542652)</v>
          </cell>
        </row>
        <row r="392">
          <cell r="C392" t="str">
            <v>KROONSTAD (542679)</v>
          </cell>
        </row>
        <row r="393">
          <cell r="C393" t="str">
            <v>KROONSTAD (542709)</v>
          </cell>
        </row>
        <row r="394">
          <cell r="C394" t="str">
            <v>KROONSTAD (542717)</v>
          </cell>
        </row>
        <row r="395">
          <cell r="C395" t="str">
            <v>KROONSTAD (542733)</v>
          </cell>
        </row>
        <row r="396">
          <cell r="C396" t="str">
            <v>KROONSTAD (542741)</v>
          </cell>
        </row>
        <row r="397">
          <cell r="C397" t="str">
            <v>KROONSTAD (542768)</v>
          </cell>
        </row>
        <row r="398">
          <cell r="C398" t="str">
            <v>KROONSTAD (542784)</v>
          </cell>
        </row>
        <row r="399">
          <cell r="C399" t="str">
            <v>KROONSTAD (542792)</v>
          </cell>
        </row>
        <row r="400">
          <cell r="C400" t="str">
            <v>KROONSTAD (546356)</v>
          </cell>
        </row>
        <row r="401">
          <cell r="C401" t="str">
            <v>KROONSTAD (546453)</v>
          </cell>
        </row>
        <row r="402">
          <cell r="C402" t="str">
            <v>KROONSTAD (I) - GUNHILL SOUTH (I)</v>
          </cell>
        </row>
        <row r="403">
          <cell r="C403" t="str">
            <v>KROONSTAD A</v>
          </cell>
        </row>
        <row r="404">
          <cell r="C404" t="str">
            <v>KROONSTAD B NYR</v>
          </cell>
        </row>
        <row r="405">
          <cell r="C405" t="str">
            <v>KROONSTAD C ERS</v>
          </cell>
        </row>
        <row r="406">
          <cell r="C406" t="str">
            <v>KROONSTAD CTC</v>
          </cell>
        </row>
        <row r="407">
          <cell r="C407" t="str">
            <v>KROONSTAD D LOCO</v>
          </cell>
        </row>
        <row r="408">
          <cell r="C408" t="str">
            <v>KROONSTAD E SIGNALS</v>
          </cell>
        </row>
        <row r="409">
          <cell r="C409" t="str">
            <v>KROONSTAD G NYR</v>
          </cell>
        </row>
        <row r="410">
          <cell r="C410" t="str">
            <v>KROONSTAD NORTH YARD</v>
          </cell>
        </row>
        <row r="411">
          <cell r="C411" t="str">
            <v>KRUGERS</v>
          </cell>
        </row>
        <row r="412">
          <cell r="C412" t="str">
            <v>KRUGERS - WATERPLAS</v>
          </cell>
        </row>
        <row r="413">
          <cell r="C413" t="str">
            <v>LANDMETER</v>
          </cell>
        </row>
        <row r="414">
          <cell r="C414" t="str">
            <v>LANDMETER - KRUGERS</v>
          </cell>
        </row>
        <row r="415">
          <cell r="C415" t="str">
            <v>LANGSPRUIT</v>
          </cell>
        </row>
        <row r="416">
          <cell r="C416" t="str">
            <v>LANGSPRUIT</v>
          </cell>
        </row>
        <row r="417">
          <cell r="C417" t="str">
            <v>LANGSPRUIT</v>
          </cell>
        </row>
        <row r="418">
          <cell r="C418" t="str">
            <v>LEEUSTROOM</v>
          </cell>
        </row>
        <row r="419">
          <cell r="C419" t="str">
            <v>LEEUSTROOM</v>
          </cell>
        </row>
        <row r="420">
          <cell r="C420" t="str">
            <v>LEEUSTROOM - KOPPIES</v>
          </cell>
        </row>
        <row r="421">
          <cell r="C421" t="str">
            <v>LEEUSTROOM - ROOIWAL</v>
          </cell>
        </row>
        <row r="422">
          <cell r="C422" t="str">
            <v>Letuka  - KORUS</v>
          </cell>
        </row>
        <row r="423">
          <cell r="C423" t="str">
            <v>LIBERTAS</v>
          </cell>
        </row>
        <row r="424">
          <cell r="C424" t="str">
            <v>LIBERTAS</v>
          </cell>
        </row>
        <row r="425">
          <cell r="C425" t="str">
            <v>LIBERTAS - BIDDULPH</v>
          </cell>
        </row>
        <row r="426">
          <cell r="C426" t="str">
            <v>LINDLEY</v>
          </cell>
        </row>
        <row r="427">
          <cell r="C427" t="str">
            <v>LINDLEY</v>
          </cell>
        </row>
        <row r="428">
          <cell r="C428" t="str">
            <v>LINDLEY - BRANDHOEK</v>
          </cell>
        </row>
        <row r="429">
          <cell r="C429" t="str">
            <v>LOFTER</v>
          </cell>
        </row>
        <row r="430">
          <cell r="C430" t="str">
            <v>LOFTER</v>
          </cell>
        </row>
        <row r="431">
          <cell r="C431" t="str">
            <v>LOFTER - VERLIGTING</v>
          </cell>
        </row>
        <row r="432">
          <cell r="C432" t="str">
            <v>LONGSIGHT - BETHLEHEM</v>
          </cell>
        </row>
        <row r="433">
          <cell r="C433" t="str">
            <v>LOSDORINGS</v>
          </cell>
        </row>
        <row r="434">
          <cell r="C434" t="str">
            <v>LOSDORINGS</v>
          </cell>
        </row>
        <row r="435">
          <cell r="C435" t="str">
            <v>LOSDORINGS - ERFDEEL</v>
          </cell>
        </row>
        <row r="436">
          <cell r="C436" t="str">
            <v>LOVAT</v>
          </cell>
        </row>
        <row r="437">
          <cell r="C437" t="str">
            <v>LOVAT - KOMSPRUIT</v>
          </cell>
        </row>
        <row r="438">
          <cell r="C438" t="str">
            <v>MAKOUPAN</v>
          </cell>
        </row>
        <row r="439">
          <cell r="C439" t="str">
            <v>MAKOUPAN - ZARA</v>
          </cell>
        </row>
        <row r="440">
          <cell r="C440" t="str">
            <v>MANNA</v>
          </cell>
        </row>
        <row r="441">
          <cell r="C441" t="str">
            <v>MANNA - KAROOKOM</v>
          </cell>
        </row>
        <row r="442">
          <cell r="C442" t="str">
            <v>MARQUARD</v>
          </cell>
        </row>
        <row r="443">
          <cell r="C443" t="str">
            <v>MARQUARD</v>
          </cell>
        </row>
        <row r="444">
          <cell r="C444" t="str">
            <v>MARSALA</v>
          </cell>
        </row>
        <row r="445">
          <cell r="C445" t="str">
            <v>MARSALA</v>
          </cell>
        </row>
        <row r="446">
          <cell r="C446" t="str">
            <v>MARSALA - TWEELING</v>
          </cell>
        </row>
        <row r="447">
          <cell r="C447" t="str">
            <v>MARSEILLES</v>
          </cell>
        </row>
        <row r="448">
          <cell r="C448" t="str">
            <v>MARSEILLES</v>
          </cell>
        </row>
        <row r="449">
          <cell r="C449" t="str">
            <v>MARSEILLES - HOOGFONTEIN</v>
          </cell>
        </row>
        <row r="450">
          <cell r="C450" t="str">
            <v>MARSEILLES - VINIES</v>
          </cell>
        </row>
        <row r="451">
          <cell r="C451" t="str">
            <v>MARSEILLES (E) - MASERU (I)</v>
          </cell>
        </row>
        <row r="452">
          <cell r="C452" t="str">
            <v>MARSEILLES (I) - MODDERPOORT (I)</v>
          </cell>
        </row>
        <row r="453">
          <cell r="C453" t="str">
            <v>MASERU</v>
          </cell>
        </row>
        <row r="454">
          <cell r="C454" t="str">
            <v>MASERU</v>
          </cell>
        </row>
        <row r="455">
          <cell r="C455" t="str">
            <v>MEETS</v>
          </cell>
        </row>
        <row r="456">
          <cell r="C456" t="str">
            <v>MEETS</v>
          </cell>
        </row>
        <row r="457">
          <cell r="C457" t="str">
            <v>MEETS</v>
          </cell>
        </row>
        <row r="458">
          <cell r="C458" t="str">
            <v>MEETS - LANGSPRUIT</v>
          </cell>
        </row>
        <row r="459">
          <cell r="C459" t="str">
            <v>MEETS - LANGSPRUIT</v>
          </cell>
        </row>
        <row r="460">
          <cell r="C460" t="str">
            <v>MEETS - LANGSPRUIT</v>
          </cell>
        </row>
        <row r="461">
          <cell r="C461" t="str">
            <v>MEETS - LANGSPRUIT</v>
          </cell>
        </row>
        <row r="462">
          <cell r="C462" t="str">
            <v>MERINORANT</v>
          </cell>
        </row>
        <row r="463">
          <cell r="C463" t="str">
            <v>MERINORANT - POMPIE</v>
          </cell>
        </row>
        <row r="464">
          <cell r="C464" t="str">
            <v>MEULRIVIER</v>
          </cell>
        </row>
        <row r="465">
          <cell r="C465" t="str">
            <v>MEULRIVIER - LETUKA</v>
          </cell>
        </row>
        <row r="466">
          <cell r="C466" t="str">
            <v>MEYERSPRUIT</v>
          </cell>
        </row>
        <row r="467">
          <cell r="C467" t="str">
            <v>MEYERSPRUIT - HERTZBERG</v>
          </cell>
        </row>
        <row r="468">
          <cell r="C468" t="str">
            <v>MEYNELL</v>
          </cell>
        </row>
        <row r="469">
          <cell r="C469" t="str">
            <v>MEYNELL - FOURIESBURG</v>
          </cell>
        </row>
        <row r="470">
          <cell r="C470" t="str">
            <v>MIDDEL</v>
          </cell>
        </row>
        <row r="471">
          <cell r="C471" t="str">
            <v>MIDDEL</v>
          </cell>
        </row>
        <row r="472">
          <cell r="C472" t="str">
            <v>MIDDEL - MARQUARD</v>
          </cell>
        </row>
        <row r="473">
          <cell r="C473" t="str">
            <v>MIDDENIN</v>
          </cell>
        </row>
        <row r="474">
          <cell r="C474" t="str">
            <v>MIDDENIN - MOOIGELEë</v>
          </cell>
        </row>
        <row r="475">
          <cell r="C475" t="str">
            <v>MIRAGE</v>
          </cell>
        </row>
        <row r="476">
          <cell r="C476" t="str">
            <v>MIRAGE</v>
          </cell>
        </row>
        <row r="477">
          <cell r="C477" t="str">
            <v>MIRAGE - BOTHAVILLE</v>
          </cell>
        </row>
        <row r="478">
          <cell r="C478" t="str">
            <v>MODDERPOORT</v>
          </cell>
        </row>
        <row r="479">
          <cell r="C479" t="str">
            <v>MODDERPOORT</v>
          </cell>
        </row>
        <row r="480">
          <cell r="C480" t="str">
            <v>MODDERPOORT - KILMARNOCK</v>
          </cell>
        </row>
        <row r="481">
          <cell r="C481" t="str">
            <v>MODDERPOORT (E) - BETHLEHEM (E)</v>
          </cell>
        </row>
        <row r="482">
          <cell r="C482" t="str">
            <v>MONTEVIDEO</v>
          </cell>
        </row>
        <row r="483">
          <cell r="C483" t="str">
            <v>MONTEVIDEO</v>
          </cell>
        </row>
        <row r="484">
          <cell r="C484" t="str">
            <v>MONTEVIDEO - SAAIBULT</v>
          </cell>
        </row>
        <row r="485">
          <cell r="C485" t="str">
            <v>MOOIGELEë</v>
          </cell>
        </row>
        <row r="486">
          <cell r="C486" t="str">
            <v>MOOIGELEë</v>
          </cell>
        </row>
        <row r="487">
          <cell r="C487" t="str">
            <v>MOOIGELEë - LINDLEY</v>
          </cell>
        </row>
        <row r="488">
          <cell r="C488" t="str">
            <v>MOOIVELD</v>
          </cell>
        </row>
        <row r="489">
          <cell r="C489" t="str">
            <v>MOOIVELD</v>
          </cell>
        </row>
        <row r="490">
          <cell r="C490" t="str">
            <v>MOOIVELD - MOTHUSI</v>
          </cell>
        </row>
        <row r="491">
          <cell r="C491" t="str">
            <v>MOTHUSI</v>
          </cell>
        </row>
        <row r="492">
          <cell r="C492" t="str">
            <v>MOTHUSI</v>
          </cell>
        </row>
        <row r="493">
          <cell r="C493" t="str">
            <v>MOTHUSI - WELKOM</v>
          </cell>
        </row>
        <row r="494">
          <cell r="C494" t="str">
            <v>MOUNT MORKEL</v>
          </cell>
        </row>
        <row r="495">
          <cell r="C495" t="str">
            <v>MOUNT MORKEL</v>
          </cell>
        </row>
        <row r="496">
          <cell r="C496" t="str">
            <v>MOUNT MORKEL - MEYNELL</v>
          </cell>
        </row>
        <row r="497">
          <cell r="C497" t="str">
            <v>OASIS</v>
          </cell>
        </row>
        <row r="498">
          <cell r="C498" t="str">
            <v>OASIS</v>
          </cell>
        </row>
        <row r="499">
          <cell r="C499" t="str">
            <v>OASIS - VIERFONTEIN</v>
          </cell>
        </row>
        <row r="500">
          <cell r="C500" t="str">
            <v>ODENDAALSRUS (SODO)</v>
          </cell>
        </row>
        <row r="501">
          <cell r="C501" t="str">
            <v>ODENDAALSRUS  (YODO)</v>
          </cell>
        </row>
        <row r="502">
          <cell r="C502" t="str">
            <v>ODENDAALSRUS - CHRISBOUW</v>
          </cell>
        </row>
        <row r="503">
          <cell r="C503" t="str">
            <v>OOREENKOMS</v>
          </cell>
        </row>
        <row r="504">
          <cell r="C504" t="str">
            <v>OOREENKOMS</v>
          </cell>
        </row>
        <row r="505">
          <cell r="C505" t="str">
            <v>OOREENKOMS</v>
          </cell>
        </row>
        <row r="506">
          <cell r="C506" t="str">
            <v>OOREENKOMS - KAALLAAGTE</v>
          </cell>
        </row>
        <row r="507">
          <cell r="C507" t="str">
            <v>OOREENKOMS - KAALLAAGTE</v>
          </cell>
        </row>
        <row r="508">
          <cell r="C508" t="str">
            <v>OOSTHUIZEN</v>
          </cell>
        </row>
        <row r="509">
          <cell r="C509" t="str">
            <v>OOSTHUIZEN</v>
          </cell>
        </row>
        <row r="510">
          <cell r="C510" t="str">
            <v>OOSTHUIZEN - STEYNSRUS</v>
          </cell>
        </row>
        <row r="511">
          <cell r="C511" t="str">
            <v>OWANTY</v>
          </cell>
        </row>
        <row r="512">
          <cell r="C512" t="str">
            <v>OWANTY</v>
          </cell>
        </row>
        <row r="513">
          <cell r="C513" t="str">
            <v>OWANTY - FICKSBURG</v>
          </cell>
        </row>
        <row r="514">
          <cell r="C514" t="str">
            <v>PARYS - VREDEFORT</v>
          </cell>
        </row>
        <row r="515">
          <cell r="C515" t="str">
            <v>PASSIE</v>
          </cell>
        </row>
        <row r="516">
          <cell r="C516" t="str">
            <v>PASSIE - GROENEBLOEM</v>
          </cell>
        </row>
        <row r="517">
          <cell r="C517" t="str">
            <v>PATRYSDRAAI</v>
          </cell>
        </row>
        <row r="518">
          <cell r="C518" t="str">
            <v>PATRYSDRAAI</v>
          </cell>
        </row>
        <row r="519">
          <cell r="C519" t="str">
            <v>PATRYSDRAAI - WONDERKOP</v>
          </cell>
        </row>
        <row r="520">
          <cell r="C520" t="str">
            <v>PAULING</v>
          </cell>
        </row>
        <row r="521">
          <cell r="C521" t="str">
            <v>PAULING - TROMPSBURG</v>
          </cell>
        </row>
        <row r="522">
          <cell r="C522" t="str">
            <v>PETRUS STEYN</v>
          </cell>
        </row>
        <row r="523">
          <cell r="C523" t="str">
            <v>PETRUS STEYN</v>
          </cell>
        </row>
        <row r="524">
          <cell r="C524" t="str">
            <v>PETRUS STEYN - RIEMLAND</v>
          </cell>
        </row>
        <row r="525">
          <cell r="C525" t="str">
            <v>POMPIE</v>
          </cell>
        </row>
        <row r="526">
          <cell r="C526" t="str">
            <v>POMPIE - LANDMETER</v>
          </cell>
        </row>
        <row r="527">
          <cell r="C527" t="str">
            <v>PROTESPAN</v>
          </cell>
        </row>
        <row r="528">
          <cell r="C528" t="str">
            <v>PROTESPAN</v>
          </cell>
        </row>
        <row r="529">
          <cell r="C529" t="str">
            <v>PROTESPAN - BULTFONTEIN</v>
          </cell>
        </row>
        <row r="530">
          <cell r="C530" t="str">
            <v>RACHAN</v>
          </cell>
        </row>
        <row r="531">
          <cell r="C531" t="str">
            <v>RACHAN - BETTIESRUS</v>
          </cell>
        </row>
        <row r="532">
          <cell r="C532" t="str">
            <v>REITZ</v>
          </cell>
        </row>
        <row r="533">
          <cell r="C533" t="str">
            <v>REITZ</v>
          </cell>
        </row>
        <row r="534">
          <cell r="C534" t="str">
            <v>REITZ - BOLIVIA</v>
          </cell>
        </row>
        <row r="535">
          <cell r="C535" t="str">
            <v>RIEMLAND</v>
          </cell>
        </row>
        <row r="536">
          <cell r="C536" t="str">
            <v>RIEMLAND - MIDDENIN</v>
          </cell>
        </row>
        <row r="537">
          <cell r="C537" t="str">
            <v>RIETWATER</v>
          </cell>
        </row>
        <row r="538">
          <cell r="C538" t="str">
            <v>RIETWATER - EDENBURG</v>
          </cell>
        </row>
        <row r="539">
          <cell r="C539" t="str">
            <v>RIFLE RANGE</v>
          </cell>
        </row>
        <row r="540">
          <cell r="C540" t="str">
            <v>RIFLE RANGE - FERREIRA</v>
          </cell>
        </row>
        <row r="541">
          <cell r="C541" t="str">
            <v>RIFLE RANGE 1</v>
          </cell>
        </row>
        <row r="542">
          <cell r="C542" t="str">
            <v>RIFLE RANGE 2</v>
          </cell>
        </row>
        <row r="543">
          <cell r="C543" t="str">
            <v>RIVIERDRAAI</v>
          </cell>
        </row>
        <row r="544">
          <cell r="C544" t="str">
            <v>RIVIERDRAAI</v>
          </cell>
        </row>
        <row r="545">
          <cell r="C545" t="str">
            <v>RIVIERDRAAI - HARRISMITH</v>
          </cell>
        </row>
        <row r="546">
          <cell r="C546" t="str">
            <v>ROOIBLOM</v>
          </cell>
        </row>
        <row r="547">
          <cell r="C547" t="str">
            <v>ROOIWAL</v>
          </cell>
        </row>
        <row r="548">
          <cell r="C548" t="str">
            <v>ROOIWAL</v>
          </cell>
        </row>
        <row r="549">
          <cell r="C549" t="str">
            <v>ROOIWAL</v>
          </cell>
        </row>
        <row r="550">
          <cell r="C550" t="str">
            <v>ROOIWAL - SERFONTEIN</v>
          </cell>
        </row>
        <row r="551">
          <cell r="C551" t="str">
            <v>ROOIWAL - SERFONTEIN</v>
          </cell>
        </row>
        <row r="552">
          <cell r="C552" t="str">
            <v>RUSTIG</v>
          </cell>
        </row>
        <row r="553">
          <cell r="C553" t="str">
            <v>RUSTIG</v>
          </cell>
        </row>
        <row r="554">
          <cell r="C554" t="str">
            <v>RUSTIG - PASSIE</v>
          </cell>
        </row>
        <row r="555">
          <cell r="C555" t="str">
            <v>SAAIBULT</v>
          </cell>
        </row>
        <row r="556">
          <cell r="C556" t="str">
            <v>SAAIBULT - MIDDEL</v>
          </cell>
        </row>
        <row r="557">
          <cell r="C557" t="str">
            <v>SANNASPOS</v>
          </cell>
        </row>
        <row r="558">
          <cell r="C558" t="str">
            <v>SANNASPOS</v>
          </cell>
        </row>
        <row r="559">
          <cell r="C559" t="str">
            <v>SANNASPOS - SEPANE</v>
          </cell>
        </row>
        <row r="560">
          <cell r="C560" t="str">
            <v>SANNASPOS (E) - MARSEILLES (E)</v>
          </cell>
        </row>
        <row r="561">
          <cell r="C561" t="str">
            <v>SCHUTTESDRAAI</v>
          </cell>
        </row>
        <row r="562">
          <cell r="C562" t="str">
            <v>SCHUTTESDRAAI</v>
          </cell>
        </row>
        <row r="563">
          <cell r="C563" t="str">
            <v>SCHUTTESDRAAI - GOLDEN FLEECE</v>
          </cell>
        </row>
        <row r="564">
          <cell r="C564" t="str">
            <v>SEKONYELA</v>
          </cell>
        </row>
        <row r="565">
          <cell r="C565" t="str">
            <v>SEKONYELA</v>
          </cell>
        </row>
        <row r="566">
          <cell r="C566" t="str">
            <v>SEKONYELA - VAILIMA</v>
          </cell>
        </row>
        <row r="567">
          <cell r="C567" t="str">
            <v>SENEKAL</v>
          </cell>
        </row>
        <row r="568">
          <cell r="C568" t="str">
            <v>SENEKAL</v>
          </cell>
        </row>
        <row r="569">
          <cell r="C569" t="str">
            <v>SENEKAL - VEEPOS</v>
          </cell>
        </row>
        <row r="570">
          <cell r="C570" t="str">
            <v>SEPANE</v>
          </cell>
        </row>
        <row r="571">
          <cell r="C571" t="str">
            <v>SEPANE - THABA NCHU</v>
          </cell>
        </row>
        <row r="572">
          <cell r="C572" t="str">
            <v>SERFONTEIN</v>
          </cell>
        </row>
        <row r="573">
          <cell r="C573" t="str">
            <v>SERFONTEIN</v>
          </cell>
        </row>
        <row r="574">
          <cell r="C574" t="str">
            <v>SERFONTEIN</v>
          </cell>
        </row>
        <row r="575">
          <cell r="C575" t="str">
            <v>SERFONTEIN - HEUNINGSPRUIT</v>
          </cell>
        </row>
        <row r="576">
          <cell r="C576" t="str">
            <v>SERFONTEIN - HEUNINGSPRUIT</v>
          </cell>
        </row>
        <row r="577">
          <cell r="C577" t="str">
            <v>SERFONTEIN IN FEED</v>
          </cell>
        </row>
        <row r="578">
          <cell r="C578" t="str">
            <v>SHERBROOKE</v>
          </cell>
        </row>
        <row r="579">
          <cell r="C579" t="str">
            <v>SHERBROOKE</v>
          </cell>
        </row>
        <row r="580">
          <cell r="C580" t="str">
            <v>SHERBROOKE</v>
          </cell>
        </row>
        <row r="581">
          <cell r="C581" t="str">
            <v>SHERBROOKE - KRANSFONTEIN</v>
          </cell>
        </row>
        <row r="582">
          <cell r="C582" t="str">
            <v>SHERIDAN</v>
          </cell>
        </row>
        <row r="583">
          <cell r="C583" t="str">
            <v>SHERIDAN - BRANDLAAGTE</v>
          </cell>
        </row>
        <row r="584">
          <cell r="C584" t="str">
            <v>SKAAPPLAAS</v>
          </cell>
        </row>
        <row r="585">
          <cell r="C585" t="str">
            <v>SKAAPPLAAS - GROTTENBURG</v>
          </cell>
        </row>
        <row r="586">
          <cell r="C586" t="str">
            <v>SKOONROOS</v>
          </cell>
        </row>
        <row r="587">
          <cell r="C587" t="str">
            <v>SKOONROOS - HOOGTE</v>
          </cell>
        </row>
        <row r="588">
          <cell r="C588" t="str">
            <v>SKOONSPRUIT</v>
          </cell>
        </row>
        <row r="589">
          <cell r="C589" t="str">
            <v>SKOONSPRUIT</v>
          </cell>
        </row>
        <row r="590">
          <cell r="C590" t="str">
            <v>SKOONSPRUIT - ROOIBLOM</v>
          </cell>
        </row>
        <row r="591">
          <cell r="C591" t="str">
            <v>SLABBERTS</v>
          </cell>
        </row>
        <row r="592">
          <cell r="C592" t="str">
            <v>SLABBERTS</v>
          </cell>
        </row>
        <row r="593">
          <cell r="C593" t="str">
            <v>SLABBERTS - BARNEA</v>
          </cell>
        </row>
        <row r="594">
          <cell r="C594" t="str">
            <v>SLABBERTS (545805)</v>
          </cell>
        </row>
        <row r="595">
          <cell r="C595" t="str">
            <v>STEYNSRUS</v>
          </cell>
        </row>
        <row r="596">
          <cell r="C596" t="str">
            <v>STEYNSRUS</v>
          </cell>
        </row>
        <row r="597">
          <cell r="C597" t="str">
            <v>STEYNSRUS</v>
          </cell>
        </row>
        <row r="598">
          <cell r="C598" t="str">
            <v>STEYNSRUS - LOVAT</v>
          </cell>
        </row>
        <row r="599">
          <cell r="C599" t="str">
            <v>SYFERKUIL</v>
          </cell>
        </row>
        <row r="600">
          <cell r="C600" t="str">
            <v>SYFERKUIL - SKOONROOS</v>
          </cell>
        </row>
        <row r="601">
          <cell r="C601" t="str">
            <v>THABA NCHU</v>
          </cell>
        </row>
        <row r="602">
          <cell r="C602" t="str">
            <v>THABA NCHU</v>
          </cell>
        </row>
        <row r="603">
          <cell r="C603" t="str">
            <v>THABA NCHU - WAGHORN</v>
          </cell>
        </row>
        <row r="604">
          <cell r="C604" t="str">
            <v>THERON</v>
          </cell>
        </row>
        <row r="605">
          <cell r="C605" t="str">
            <v>THERON</v>
          </cell>
        </row>
        <row r="606">
          <cell r="C606" t="str">
            <v>THERON</v>
          </cell>
        </row>
        <row r="607">
          <cell r="C607" t="str">
            <v>THERON - THEUNISSEN</v>
          </cell>
        </row>
        <row r="608">
          <cell r="C608" t="str">
            <v>THERON - THEUNISSEN</v>
          </cell>
        </row>
        <row r="609">
          <cell r="C609" t="str">
            <v>THEUNISSEN</v>
          </cell>
        </row>
        <row r="610">
          <cell r="C610" t="str">
            <v>THEUNISSEN</v>
          </cell>
        </row>
        <row r="611">
          <cell r="C611" t="str">
            <v>THEUNISSEN</v>
          </cell>
        </row>
        <row r="612">
          <cell r="C612" t="str">
            <v>THEUNISSEN</v>
          </cell>
        </row>
        <row r="613">
          <cell r="C613" t="str">
            <v>THEUNISSEN</v>
          </cell>
        </row>
        <row r="614">
          <cell r="C614" t="str">
            <v>THEUNISSEN - VETRIVIER</v>
          </cell>
        </row>
        <row r="615">
          <cell r="C615" t="str">
            <v>THEUNISSEN - VETRIVIER</v>
          </cell>
        </row>
        <row r="616">
          <cell r="C616" t="str">
            <v>THEUNISSEN (545694)</v>
          </cell>
        </row>
        <row r="617">
          <cell r="C617" t="str">
            <v>THEUNISSEN (I) - BLOEMFONTEIN (E)</v>
          </cell>
        </row>
        <row r="618">
          <cell r="C618" t="str">
            <v>THEUNISSEN-VETRIVIER</v>
          </cell>
        </row>
        <row r="619">
          <cell r="C619" t="str">
            <v>TIERFONTEIN</v>
          </cell>
        </row>
        <row r="620">
          <cell r="C620" t="str">
            <v>TIERFONTEIN</v>
          </cell>
        </row>
        <row r="621">
          <cell r="C621" t="str">
            <v>TIERFONTEIN - WILLEMSRUS</v>
          </cell>
        </row>
        <row r="622">
          <cell r="C622" t="str">
            <v>TIERPOORT</v>
          </cell>
        </row>
        <row r="623">
          <cell r="C623" t="str">
            <v>TIERPOORT</v>
          </cell>
        </row>
        <row r="624">
          <cell r="C624" t="str">
            <v>TIERPOORT - MEYERSPRUIT</v>
          </cell>
        </row>
        <row r="625">
          <cell r="C625" t="str">
            <v>TOPPUNT</v>
          </cell>
        </row>
        <row r="626">
          <cell r="C626" t="str">
            <v>TOPPUNT - WARDEN</v>
          </cell>
        </row>
        <row r="627">
          <cell r="C627" t="str">
            <v>TRENTHAM</v>
          </cell>
        </row>
        <row r="628">
          <cell r="C628" t="str">
            <v>TRENTHAM</v>
          </cell>
        </row>
        <row r="629">
          <cell r="C629" t="str">
            <v>TRENTHAM - BETHLEHEM</v>
          </cell>
        </row>
        <row r="630">
          <cell r="C630" t="str">
            <v>TROMPSBURG</v>
          </cell>
        </row>
        <row r="631">
          <cell r="C631" t="str">
            <v>TROMPSBURG - PAULING</v>
          </cell>
        </row>
        <row r="632">
          <cell r="C632" t="str">
            <v>TWEELING</v>
          </cell>
        </row>
        <row r="633">
          <cell r="C633" t="str">
            <v>TWEELING</v>
          </cell>
        </row>
        <row r="634">
          <cell r="C634" t="str">
            <v>TWEELING - BLYDSKAP</v>
          </cell>
        </row>
        <row r="635">
          <cell r="C635" t="str">
            <v>TWEESPRUIT</v>
          </cell>
        </row>
        <row r="636">
          <cell r="C636" t="str">
            <v>TWEESPRUIT</v>
          </cell>
        </row>
        <row r="637">
          <cell r="C637" t="str">
            <v>TWEESPRUIT - WESTMINSTER</v>
          </cell>
        </row>
        <row r="638">
          <cell r="C638" t="str">
            <v>TWEESPRUIT (543721)</v>
          </cell>
        </row>
        <row r="639">
          <cell r="C639" t="str">
            <v>TWEESPRUIT (543756)</v>
          </cell>
        </row>
        <row r="640">
          <cell r="C640" t="str">
            <v>TWEESPRUIT (543764)</v>
          </cell>
        </row>
        <row r="641">
          <cell r="C641" t="str">
            <v>TWEESPRUIT (543772)</v>
          </cell>
        </row>
        <row r="642">
          <cell r="C642" t="str">
            <v>VAALBRUG</v>
          </cell>
        </row>
        <row r="643">
          <cell r="C643" t="str">
            <v>VAALBRUG - ORKNEY</v>
          </cell>
        </row>
        <row r="644">
          <cell r="C644" t="str">
            <v>VAILIMA</v>
          </cell>
        </row>
        <row r="645">
          <cell r="C645" t="str">
            <v>VAILIMA</v>
          </cell>
        </row>
        <row r="646">
          <cell r="C646" t="str">
            <v>VAILIMA - KOMMANDONEK</v>
          </cell>
        </row>
        <row r="647">
          <cell r="C647" t="str">
            <v>VALSRIVIER</v>
          </cell>
        </row>
        <row r="648">
          <cell r="C648" t="str">
            <v>VALSRIVIER</v>
          </cell>
        </row>
        <row r="649">
          <cell r="C649" t="str">
            <v>VALSRIVIER</v>
          </cell>
        </row>
        <row r="650">
          <cell r="C650" t="str">
            <v>VALSRIVIER - KRIEKDRAAI</v>
          </cell>
        </row>
        <row r="651">
          <cell r="C651" t="str">
            <v>VALSRIVIER - MEETS</v>
          </cell>
        </row>
        <row r="652">
          <cell r="C652" t="str">
            <v>VAN TONDER</v>
          </cell>
        </row>
        <row r="653">
          <cell r="C653" t="str">
            <v>VAN TONDER</v>
          </cell>
        </row>
        <row r="654">
          <cell r="C654" t="str">
            <v>VAN TONDER</v>
          </cell>
        </row>
        <row r="655">
          <cell r="C655" t="str">
            <v>VAN TONDER - BLOEMFONTEIN</v>
          </cell>
        </row>
        <row r="656">
          <cell r="C656" t="str">
            <v>VAN TONDER - DE BLOEM</v>
          </cell>
        </row>
        <row r="657">
          <cell r="C657" t="str">
            <v>VEEPOS</v>
          </cell>
        </row>
        <row r="658">
          <cell r="C658" t="str">
            <v>VEEPOS - VLAKSPRUIT</v>
          </cell>
        </row>
        <row r="659">
          <cell r="C659" t="str">
            <v>VERBETERING</v>
          </cell>
        </row>
        <row r="660">
          <cell r="C660" t="str">
            <v>VERBETERING</v>
          </cell>
        </row>
        <row r="661">
          <cell r="C661" t="str">
            <v>VERBETERING - WESTLEIGH</v>
          </cell>
        </row>
        <row r="662">
          <cell r="C662" t="str">
            <v>VERLIGTING</v>
          </cell>
        </row>
        <row r="663">
          <cell r="C663" t="str">
            <v>VERLIGTING - SPRINGFONTEIN</v>
          </cell>
        </row>
        <row r="664">
          <cell r="C664" t="str">
            <v>VETRIVIER</v>
          </cell>
        </row>
        <row r="665">
          <cell r="C665" t="str">
            <v>VETRIVIER - EENSGEVONDEN</v>
          </cell>
        </row>
        <row r="666">
          <cell r="C666" t="str">
            <v>VETRIVIER - EENSGEVONDEN</v>
          </cell>
        </row>
        <row r="667">
          <cell r="C667" t="str">
            <v>VIERFONTEIN</v>
          </cell>
        </row>
        <row r="668">
          <cell r="C668" t="str">
            <v>VIERFONTEIN</v>
          </cell>
        </row>
        <row r="669">
          <cell r="C669" t="str">
            <v>VIERFONTEIN - MANNA</v>
          </cell>
        </row>
        <row r="670">
          <cell r="C670" t="str">
            <v>VIERFONTEIN - VAALBRUG</v>
          </cell>
        </row>
        <row r="671">
          <cell r="C671" t="str">
            <v>VIERFONTEIN (E) - ROOIBLOM (E)</v>
          </cell>
        </row>
        <row r="672">
          <cell r="C672" t="str">
            <v>VIERFONTEIN (I) - ORKNEY (E)</v>
          </cell>
        </row>
        <row r="673">
          <cell r="C673" t="str">
            <v>VILJOENSKROON</v>
          </cell>
        </row>
        <row r="674">
          <cell r="C674" t="str">
            <v>VILJOENSKROON</v>
          </cell>
        </row>
        <row r="675">
          <cell r="C675" t="str">
            <v>VILJOENSKROON</v>
          </cell>
        </row>
        <row r="676">
          <cell r="C676" t="str">
            <v>VILJOENSKROON - OASIS</v>
          </cell>
        </row>
        <row r="677">
          <cell r="C677" t="str">
            <v>VILJOENSKROON - VILJOENSKROON</v>
          </cell>
        </row>
        <row r="678">
          <cell r="C678" t="str">
            <v>VILLIERS</v>
          </cell>
        </row>
        <row r="679">
          <cell r="C679" t="str">
            <v>VILLIERS</v>
          </cell>
        </row>
        <row r="680">
          <cell r="C680" t="str">
            <v>VILLIERS - JOHANNASRUS</v>
          </cell>
        </row>
        <row r="681">
          <cell r="C681" t="str">
            <v>VILLIERS (E) - BETHLEHEM (E)</v>
          </cell>
        </row>
        <row r="682">
          <cell r="C682" t="str">
            <v>VINIES</v>
          </cell>
        </row>
        <row r="683">
          <cell r="C683" t="str">
            <v>VINIES - MASERU</v>
          </cell>
        </row>
        <row r="684">
          <cell r="C684" t="str">
            <v>VIRGINIA</v>
          </cell>
        </row>
        <row r="685">
          <cell r="C685" t="str">
            <v>VIRGINIA</v>
          </cell>
        </row>
        <row r="686">
          <cell r="C686" t="str">
            <v>VIRGINIA</v>
          </cell>
        </row>
        <row r="687">
          <cell r="C687" t="str">
            <v>VIRGINIA</v>
          </cell>
        </row>
        <row r="688">
          <cell r="C688" t="str">
            <v>VIRGINIA - GLEN HARMONY</v>
          </cell>
        </row>
        <row r="689">
          <cell r="C689" t="str">
            <v>VIRGINIA - WELGELEë</v>
          </cell>
        </row>
        <row r="690">
          <cell r="C690" t="str">
            <v>VIRGINIA - WELGELEë</v>
          </cell>
        </row>
        <row r="691">
          <cell r="C691" t="str">
            <v>VIRGINIA (E) - GLEN HARMONY (I)</v>
          </cell>
        </row>
        <row r="692">
          <cell r="C692" t="str">
            <v>VIRGINIA-WELGELEë</v>
          </cell>
        </row>
        <row r="693">
          <cell r="C693" t="str">
            <v>VLAKSPRUIT</v>
          </cell>
        </row>
        <row r="694">
          <cell r="C694" t="str">
            <v>VLAKSPRUIT - MONTEVIDEO</v>
          </cell>
        </row>
        <row r="695">
          <cell r="C695" t="str">
            <v>WAGHORN</v>
          </cell>
        </row>
        <row r="696">
          <cell r="C696" t="str">
            <v>WAGHORN - TWEESPRUIT</v>
          </cell>
        </row>
        <row r="697">
          <cell r="C697" t="str">
            <v>WARDEN</v>
          </cell>
        </row>
        <row r="698">
          <cell r="C698" t="str">
            <v>WARDEN</v>
          </cell>
        </row>
        <row r="699">
          <cell r="C699" t="str">
            <v>WATERPLAS</v>
          </cell>
        </row>
        <row r="700">
          <cell r="C700" t="str">
            <v>WATERPLAS - TROMPSBURG</v>
          </cell>
        </row>
        <row r="701">
          <cell r="C701" t="str">
            <v>WELGELEë</v>
          </cell>
        </row>
        <row r="702">
          <cell r="C702" t="str">
            <v>WELGELEë</v>
          </cell>
        </row>
        <row r="703">
          <cell r="C703" t="str">
            <v>WELGELEë</v>
          </cell>
        </row>
        <row r="704">
          <cell r="C704" t="str">
            <v>WELGELEë - THERON</v>
          </cell>
        </row>
        <row r="705">
          <cell r="C705" t="str">
            <v>WELGELEë - THERON</v>
          </cell>
        </row>
        <row r="706">
          <cell r="C706" t="str">
            <v>WELGELEë - WELGELEë</v>
          </cell>
        </row>
        <row r="707">
          <cell r="C707" t="str">
            <v>WELKOM</v>
          </cell>
        </row>
        <row r="708">
          <cell r="C708" t="str">
            <v>WELKOM</v>
          </cell>
        </row>
        <row r="709">
          <cell r="C709" t="str">
            <v>WELKOM</v>
          </cell>
        </row>
        <row r="710">
          <cell r="C710" t="str">
            <v>WELKOM - FRIEDESHEIM</v>
          </cell>
        </row>
        <row r="711">
          <cell r="C711" t="str">
            <v>WELKOM (E) - ANCONA (E)</v>
          </cell>
        </row>
        <row r="712">
          <cell r="C712" t="str">
            <v>WELKOM (I) - WELKOM (I)</v>
          </cell>
        </row>
        <row r="713">
          <cell r="C713" t="str">
            <v>WELKOM CTC</v>
          </cell>
        </row>
        <row r="714">
          <cell r="C714" t="str">
            <v>WESSELSBRON</v>
          </cell>
        </row>
        <row r="715">
          <cell r="C715" t="str">
            <v>WESSELSBRON</v>
          </cell>
        </row>
        <row r="716">
          <cell r="C716" t="str">
            <v>WESSELSBRON - BESEMPAN</v>
          </cell>
        </row>
        <row r="717">
          <cell r="C717" t="str">
            <v>WESTLEIGH</v>
          </cell>
        </row>
        <row r="718">
          <cell r="C718" t="str">
            <v>WESTLEIGH</v>
          </cell>
        </row>
        <row r="719">
          <cell r="C719" t="str">
            <v>WESTLEIGH - ATTIE</v>
          </cell>
        </row>
        <row r="720">
          <cell r="C720" t="str">
            <v>WESTLEIGH - JORDAAN</v>
          </cell>
        </row>
        <row r="721">
          <cell r="C721" t="str">
            <v>WESTLEIGH (E) - VIERFONTEIN (E)</v>
          </cell>
        </row>
        <row r="722">
          <cell r="C722" t="str">
            <v>WESTLEIGH (I) - KROONSTAD (E)</v>
          </cell>
        </row>
        <row r="723">
          <cell r="C723" t="str">
            <v>WESTMINSTER</v>
          </cell>
        </row>
        <row r="724">
          <cell r="C724" t="str">
            <v>WESTMINSTER</v>
          </cell>
        </row>
        <row r="725">
          <cell r="C725" t="str">
            <v>WESTMINSTER - MARSEILLES</v>
          </cell>
        </row>
        <row r="726">
          <cell r="C726" t="str">
            <v>WESTMINSTER (545538)</v>
          </cell>
        </row>
        <row r="727">
          <cell r="C727" t="str">
            <v>WESTMINSTER (545546)</v>
          </cell>
        </row>
        <row r="728">
          <cell r="C728" t="str">
            <v>WESTMINSTER (545562)</v>
          </cell>
        </row>
        <row r="729">
          <cell r="C729" t="str">
            <v>WHITES</v>
          </cell>
        </row>
        <row r="730">
          <cell r="C730" t="str">
            <v>WHITES</v>
          </cell>
        </row>
        <row r="731">
          <cell r="C731" t="str">
            <v>WHITES</v>
          </cell>
        </row>
        <row r="732">
          <cell r="C732" t="str">
            <v>WHITES - KALKVLAKTE</v>
          </cell>
        </row>
        <row r="733">
          <cell r="C733" t="str">
            <v>WHITES - KALKVLAKTE</v>
          </cell>
        </row>
        <row r="734">
          <cell r="C734" t="str">
            <v>WHITES - MOOIVELD</v>
          </cell>
        </row>
        <row r="735">
          <cell r="C735" t="str">
            <v>WHITES - MOOIVELD</v>
          </cell>
        </row>
        <row r="736">
          <cell r="C736" t="str">
            <v>WHITES (545465)</v>
          </cell>
        </row>
        <row r="737">
          <cell r="C737" t="str">
            <v>WHITES (E) - THEUNISSEN (E)</v>
          </cell>
        </row>
        <row r="738">
          <cell r="C738" t="str">
            <v>WHITES (E) - WELKOM (E)</v>
          </cell>
        </row>
        <row r="739">
          <cell r="C739" t="str">
            <v>WHITES (I) - KROONSTAD (E)</v>
          </cell>
        </row>
        <row r="740">
          <cell r="C740" t="str">
            <v>WHITES CTC</v>
          </cell>
        </row>
        <row r="741">
          <cell r="C741" t="str">
            <v>WILLEMSRUS</v>
          </cell>
        </row>
        <row r="742">
          <cell r="C742" t="str">
            <v>WILLEMSRUS</v>
          </cell>
        </row>
        <row r="743">
          <cell r="C743" t="str">
            <v>WILLEMSRUS - PROTESPAN</v>
          </cell>
        </row>
        <row r="744">
          <cell r="C744" t="str">
            <v>WINDFIELD</v>
          </cell>
        </row>
        <row r="745">
          <cell r="C745" t="str">
            <v>WINDFIELD</v>
          </cell>
        </row>
        <row r="746">
          <cell r="C746" t="str">
            <v>WINDFIELD - DASKLIP</v>
          </cell>
        </row>
        <row r="747">
          <cell r="C747" t="str">
            <v>WOLWEHOEK</v>
          </cell>
        </row>
        <row r="748">
          <cell r="C748" t="str">
            <v>WOLWEHOEK</v>
          </cell>
        </row>
        <row r="749">
          <cell r="C749" t="str">
            <v>WOLWEHOEK</v>
          </cell>
        </row>
        <row r="750">
          <cell r="C750" t="str">
            <v>WOLWEHOEK - SKAAPPLAAS</v>
          </cell>
        </row>
        <row r="751">
          <cell r="C751" t="str">
            <v>WOLWEHOEK - YWER</v>
          </cell>
        </row>
        <row r="752">
          <cell r="C752" t="str">
            <v>WOLWEHOEK - YWER</v>
          </cell>
        </row>
        <row r="753">
          <cell r="C753" t="str">
            <v>WOLWEHOEK - YWER</v>
          </cell>
        </row>
        <row r="754">
          <cell r="C754" t="str">
            <v>WOLWEHOEK - YWER</v>
          </cell>
        </row>
        <row r="755">
          <cell r="C755" t="str">
            <v>WOLWEHOEK (545422)</v>
          </cell>
        </row>
        <row r="756">
          <cell r="C756" t="str">
            <v>WOLWEHOEK (545449)</v>
          </cell>
        </row>
        <row r="757">
          <cell r="C757" t="str">
            <v>WOLWEHOEK (E) - ARLINGTON (E)</v>
          </cell>
        </row>
        <row r="758">
          <cell r="C758" t="str">
            <v>WONDERKOP</v>
          </cell>
        </row>
        <row r="759">
          <cell r="C759" t="str">
            <v>WONDERKOP</v>
          </cell>
        </row>
        <row r="760">
          <cell r="C760" t="str">
            <v>WONDERKOP</v>
          </cell>
        </row>
        <row r="761">
          <cell r="C761" t="str">
            <v>WONDERKOP - OOSTHUIZEN</v>
          </cell>
        </row>
        <row r="762">
          <cell r="C762" t="str">
            <v>WURASOORD</v>
          </cell>
        </row>
        <row r="763">
          <cell r="C763" t="str">
            <v>WURASOORD - RIETWATER</v>
          </cell>
        </row>
        <row r="764">
          <cell r="C764" t="str">
            <v>YARIMA</v>
          </cell>
        </row>
        <row r="765">
          <cell r="C765" t="str">
            <v>YARIMA</v>
          </cell>
        </row>
        <row r="766">
          <cell r="C766" t="str">
            <v>YARIMA - ARLINGTON</v>
          </cell>
        </row>
        <row r="767">
          <cell r="C767" t="str">
            <v>YWER</v>
          </cell>
        </row>
        <row r="768">
          <cell r="C768" t="str">
            <v>YWER</v>
          </cell>
        </row>
        <row r="769">
          <cell r="C769" t="str">
            <v>YWER</v>
          </cell>
        </row>
        <row r="770">
          <cell r="C770" t="str">
            <v>YWER - DOVER</v>
          </cell>
        </row>
        <row r="771">
          <cell r="C771" t="str">
            <v>YWER - GREENLANDS</v>
          </cell>
        </row>
        <row r="772">
          <cell r="C772" t="str">
            <v>ZARA</v>
          </cell>
        </row>
        <row r="773">
          <cell r="C773" t="str">
            <v>ZARA - MARSALA</v>
          </cell>
        </row>
      </sheetData>
      <sheetData sheetId="2"/>
      <sheetData sheetId="3">
        <row r="2">
          <cell r="A2" t="str">
            <v xml:space="preserve">Production </v>
          </cell>
          <cell r="C2" t="str">
            <v>RRV</v>
          </cell>
        </row>
        <row r="3">
          <cell r="A3" t="str">
            <v>Planning</v>
          </cell>
          <cell r="C3" t="str">
            <v xml:space="preserve">Traditional Team </v>
          </cell>
        </row>
      </sheetData>
      <sheetData sheetId="4">
        <row r="2">
          <cell r="A2">
            <v>300469369</v>
          </cell>
        </row>
        <row r="3">
          <cell r="A3">
            <v>300460386</v>
          </cell>
        </row>
        <row r="4">
          <cell r="A4">
            <v>300469387</v>
          </cell>
        </row>
        <row r="5">
          <cell r="A5">
            <v>300469388</v>
          </cell>
        </row>
        <row r="6">
          <cell r="A6">
            <v>300469389</v>
          </cell>
        </row>
        <row r="7">
          <cell r="A7">
            <v>300469400</v>
          </cell>
        </row>
      </sheetData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Sheet6"/>
      <sheetName val="WorkCntrData"/>
      <sheetName val="Team Details"/>
    </sheetNames>
    <sheetDataSet>
      <sheetData sheetId="0"/>
      <sheetData sheetId="1"/>
      <sheetData sheetId="2"/>
      <sheetData sheetId="3"/>
      <sheetData sheetId="4">
        <row r="2">
          <cell r="A2" t="str">
            <v xml:space="preserve">Production </v>
          </cell>
        </row>
        <row r="3">
          <cell r="A3" t="str">
            <v>Planning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3FD044-47C9-4644-A3BC-84EDCC86FEEB}" name="Table3" displayName="Table3" ref="D3:Y5" totalsRowShown="0" headerRowDxfId="43">
  <autoFilter ref="D3:Y5" xr:uid="{2CBA84B6-5778-458E-BBB1-7D86B8AA5635}"/>
  <tableColumns count="22">
    <tableColumn id="1" xr3:uid="{9D6764F1-57B4-4157-A5AD-D1FFE578B2AB}" name="Discipline"/>
    <tableColumn id="2" xr3:uid="{F1D2E79C-7FE2-4EC3-8058-1F17340435DB}" name="PM No."/>
    <tableColumn id="5" xr3:uid="{927F7E8A-1FFF-4736-9837-230ACD11B1CA}" name="Work Centre"/>
    <tableColumn id="6" xr3:uid="{1E6F8AF4-AF30-4815-8EA9-7FB0F8E380B7}" name="WC Type"/>
    <tableColumn id="7" xr3:uid="{1C178C55-417B-41B3-AD72-90C0E681B256}" name="Team Leader" dataDxfId="42">
      <calculatedColumnFormula>IF(Table3[[#This Row],[Work Centre]]=WorkCntrData!$A$2,WorkCntrData!$E$2,IF(Table3[[#This Row],[Work Centre]]=WorkCntrData!$A$3,WorkCntrData!$E$3,IF(Table3[[#This Row],[Work Centre]]=WorkCntrData!$A$4,WorkCntrData!$E$4,IF(Table3[[#This Row],[Work Centre]]=WorkCntrData!$A$5,WorkCntrData!$E$5,IF(Table3[[#This Row],[Work Centre]]=WorkCntrData!$A$6,WorkCntrData!$E$6,IF(Table3[[#This Row],[Work Centre]]=WorkCntrData!$A$7,WorkCntrData!$E$7, IF(Table3[[#This Row],[Work Centre]]=WorkCntrData!$A$8,WorkCntrData!$E$8,IF(Table3[[#This Row],[Work Centre]]=WorkCntrData!$A$9,WorkCntrData!$E$9,IF(Table3[[#This Row],[Work Centre]]=WorkCntrData!$A$10,WorkCntrData!$E$10,IF(Table3[[#This Row],[Work Centre]]=WorkCntrData!$A$11,WorkCntrData!$E$11,IF(Table3[[#This Row],[Work Centre]]=WorkCntrData!$A$12,WorkCntrData!$E$12,IF(Table3[[#This Row],[Work Centre]]=WorkCntrData!$A$13,WorkCntrData!$E$13,IF(Table3[[#This Row],[Work Centre]]=WorkCntrData!$A$15,WorkCntrData!$E$15,IF(Table3[[#This Row],[Work Centre]]=WorkCntrData!$A$16,WorkCntrData!$E$16,IF(Table3[[#This Row],[Work Centre]]=WorkCntrData!$A$17,WorkCntrData!$E$17,IF(Table3[[#This Row],[Work Centre]]=WorkCntrData!$A$18,WorkCntrData!$E$18,IF(Table3[[#This Row],[Work Centre]]=WorkCntrData!$A$19,WorkCntrData!$E$19,IF(Table3[[#This Row],[Work Centre]]=WorkCntrData!$A$20,WorkCntrData!$E$20,IF(Table3[[#This Row],[Work Centre]]=WorkCntrData!$A$21,WorkCntrData!$E$21,IF(Table3[[#This Row],[Work Centre]]=WorkCntrData!$A$22,WorkCntrData!$E$22,IF(Table3[[#This Row],[Work Centre]]=WorkCntrData!$A$23,WorkCntrData!$E$23,IF(Table3[[#This Row],[Work Centre]]=WorkCntrData!$A$24,WorkCntrData!$E$24,IF(Table3[[#This Row],[Work Centre]]=WorkCntrData!$A$25,WorkCntrData!$E$25,IF(Table3[[#This Row],[Work Centre]]=WorkCntrData!$A$26,WorkCntrData!$E$26,IF(Table3[[#This Row],[Work Centre]]=WorkCntrData!$A$27,WorkCntrData!$E$27,IF(Table3[[#This Row],[Work Centre]]=WorkCntrData!$A$28,WorkCntrData!$E$28,IF(Table3[[#This Row],[Work Centre]]=WorkCntrData!$A$29,WorkCntrData!$E$29,IF(Table3[[#This Row],[Work Centre]]=WorkCntrData!$A$30,WorkCntrData!$E$30,IF(Table3[[#This Row],[Work Centre]]=WorkCntrData!$A$30,WorkCntrData!$E$30,IF(Table3[[#This Row],[Work Centre]]=WorkCntrData!$A$31,WorkCntrData!$E$31,IF(Table3[[#This Row],[Work Centre]]=WorkCntrData!$A$32,WorkCntrData!$E$32,IF(Table3[[#This Row],[Work Centre]]=WorkCntrData!$A$33,WorkCntrData!$E$33,IF(Table3[[#This Row],[Work Centre]]=WorkCntrData!$A$34,WorkCntrData!$E$34,IF(Table3[[#This Row],[Work Centre]]=WorkCntrData!$A$35,WorkCntrData!$E$35,IF(Table3[[#This Row],[Work Centre]]=WorkCntrData!$A$36,WorkCntrData!$E$36,IF(Table3[[#This Row],[Work Centre]]=WorkCntrData!$A$37,WorkCntrData!$E$37,IF(Table3[[#This Row],[Work Centre]]=WorkCntrData!$A$38,WorkCntrData!$E$38,IF(Table3[[#This Row],[Work Centre]]=WorkCntrData!$A$39,WorkCntrData!$E$39))))))))))))))))))))))))))))))))))))))</calculatedColumnFormula>
    </tableColumn>
    <tableColumn id="8" xr3:uid="{E6E88205-8BB0-4D28-A737-1A6100F60FD7}" name="Team" dataDxfId="41">
      <calculatedColumnFormula>IF(Table3[[#This Row],[Work Centre]]=WorkCenterDetails!$A$11,'Team Details'!$C$2,IF(Table3[[#This Row],[Work Centre]]=WorkCenterDetails!$A$15,'Team Details'!$C$2,IF(Table3[[#This Row],[Work Centre]]=WorkCenterDetails!$A$5,'Team Details'!$C$3)))</calculatedColumnFormula>
    </tableColumn>
    <tableColumn id="9" xr3:uid="{2ABE06CD-D205-4B95-92A2-36E3F13C203D}" name="Team Strength" dataDxfId="40">
      <calculatedColumnFormula>IF(Table3[[#This Row],[Work Centre]]=WorkCenterDetails!$A$15,5,IF(Table3[[#This Row],[Work Centre]]=WorkCenterDetails!$A$11,5,IF(Table3[[#This Row],[Work Centre]]=WorkCenterDetails!$A$5,14)))</calculatedColumnFormula>
    </tableColumn>
    <tableColumn id="10" xr3:uid="{06153052-B5FB-469F-9E29-0E3B6C9CD7D7}" name="Equip. No." dataDxfId="39">
      <calculatedColumnFormula>IF(Table3[[#This Row],[Location ]]=Function_Location!$C$39,Function_Location!$D$3,IF(Table3[[#This Row],[Location ]]=Function_Location!$C$39,Function_Location!$D$39,IF(Table3[[#This Row],[Location ]]=Function_Location!$C$32,Function_Location!$D$32,IF(Table3[[#This Row],[Location ]]=Function_Location!$C$34,Function_Location!$D$34,IF(Table3[[#This Row],[Location ]]=Function_Location!$C$35,Function_Location!$D$34,IF(Table3[[#This Row],[Location ]]=Function_Location!$C$36,Function_Location!$D$36,IF(Table3[[#This Row],[Location ]]=Function_Location!$C$37,Function_Location!$D$37,IF(Table3[[#This Row],[Location ]]=Function_Location!$C$38,Function_Location!$D$38,IF(Table3[[#This Row],[Location ]]=Function_Location!$C$39,Function_Location!$D$39,IF(Table3[[#This Row],[Location ]]=Function_Location!$C$40,Function_Location!$D$40,IF(Table3[[#This Row],[Location ]]=Function_Location!$C$41,Function_Location!$D$41,IF(Table3[[#This Row],[Location ]]=Function_Location!$C$3,Function_Location!$D$3,IF(Table3[[#This Row],[Location ]]=Function_Location!$C$4,Function_Location!$D$4,IF(Table3[[#This Row],[Location ]]=Function_Location!$C$5,Function_Location!$D$5,IF(Table3[[#This Row],[Location ]]=Function_Location!$C$6,Function_Location!$D$6,IF(Table3[[#This Row],[Location ]]=Function_Location!$C$7,Function_Location!$D$7,IF(Table3[[#This Row],[Location ]]=Function_Location!$C$8,Function_Location!$D$8,IF(Table3[[#This Row],[Location ]]=Function_Location!$C$9,Function_Location!$D$9,IF(Table3[[#This Row],[Location ]]=Function_Location!$C$10,Function_Location!$D$10,IF(Table3[[#This Row],[Location ]]=Function_Location!$C$11,Function_Location!$D$11,IF(Table3[[#This Row],[Location ]]=Function_Location!$C$12,Function_Location!$D$12,IF(Table3[[#This Row],[Location ]]=Function_Location!$C$13,Function_Location!$D$13,IF(Table3[[#This Row],[Location ]]=Function_Location!$C$14,Function_Location!$D$14,IF(Table3[[#This Row],[Location ]]=Function_Location!$C$15,Function_Location!$D$15,IF(Table3[[#This Row],[Location ]]=Function_Location!$C$17,Function_Location!$D$17,IF(Table3[[#This Row],[Location ]]=Function_Location!$C$18,Function_Location!$D$18,IF(Table3[[#This Row],[Location ]]=Function_Location!$C$19,Function_Location!$D$19,IF(Table3[[#This Row],[Location ]]=Function_Location!$C$20,Function_Location!$D$20,IF(Table3[[#This Row],[Location ]]=Function_Location!$C$21,Function_Location!$D$21,IF(Table3[[#This Row],[Location ]]=Function_Location!$C$22,Function_Location!$D$22,IF(Table3[[#This Row],[Location ]]=Function_Location!$C$23,Function_Location!$D$23,IF(Table3[[#This Row],[Location ]]=Function_Location!$C$24,Function_Location!$D$24,IF(Table3[[#This Row],[Location ]]=Function_Location!$C$25,Function_Location!$D$25,IF(Table3[[#This Row],[Location ]]=Function_Location!$C$26,Function_Location!$D$26,IF(Table3[[#This Row],[Location ]]=Function_Location!$C$27,Function_Location!$D$27,IF(Table3[[#This Row],[Location ]]=Function_Location!$C$43,Function_Location!$D$43,IF(Table3[[#This Row],[Location ]]=Function_Location!$C$44,Function_Location!$D$44,IF(Table3[[#This Row],[Location ]]=Function_Location!$C$45,Function_Location!$D$45,IF(Table3[[#This Row],[Location ]]=Function_Location!$C$46,Function_Location!$D$46,IF(Table3[[#This Row],[Location ]]=Function_Location!$C$47,Function_Location!$D$47,IF(Table3[[#This Row],[Location ]]=Function_Location!$C$48,Function_Location!$D$48,IF(Table3[[#This Row],[Location ]]=Function_Location!$C$49,Function_Location!$D$49,IF(Table3[[#This Row],[Location ]]=Function_Location!$C$50,Function_Location!$D$50,IF(Table3[[#This Row],[Location ]]=Function_Location!$C$51,Function_Location!$D$51,IF(Table3[[#This Row],[Location ]]=Function_Location!$C$52,Function_Location!$D$52,IF(Table3[[#This Row],[Location ]]=Function_Location!$C$53,Function_Location!$D$53,IF(Table3[[#This Row],[Location ]]=Function_Location!$C$55,Function_Location!$D$55,IF(Table3[[#This Row],[Location ]]=Function_Location!$C$56,Function_Location!$D$56,IF(Table3[[#This Row],[Location ]]=Function_Location!$C$57,Function_Location!$D$57,IF(Table3[[#This Row],[Location ]]=Function_Location!$C$58,Function_Location!$D$58,IF(Table3[[#This Row],[Location ]]=Function_Location!$C$59,Function_Location!$D$59,IF(Table3[[#This Row],[Location ]]=Function_Location!$C$60,Function_Location!$D$60,IF(Table3[[#This Row],[Location ]]=Function_Location!$C$61,Function_Location!$D$61,IF(Table3[[#This Row],[Location ]]=Function_Location!$C$63,Function_Location!$D$63,IF(Table3[[#This Row],[Location ]]=Function_Location!$C$64,Function_Location!$D$64,IF(Table3[[#This Row],[Location ]]=Function_Location!$C$65,Function_Location!$D$65,IF(Table3[[#This Row],[Location ]]=Function_Location!$C$29,Function_Location!$D$29,IF(Table3[[#This Row],[Location ]]=Function_Location!$C$30,Function_Location!$D$30,IF(Table3[[#This Row],[Location ]]=Function_Location!$C$31,Function_Location!$D$31)))))))))))))))))))))))))))))))))))))))))))))))))))))))))))</calculatedColumnFormula>
    </tableColumn>
    <tableColumn id="11" xr3:uid="{B4320213-4559-4BBB-8518-8C8BD4850349}" name="Func. Loc."/>
    <tableColumn id="12" xr3:uid="{987B71E5-5BA9-4496-BAE0-5D07867B00F0}" name="Sub Func. Loc."/>
    <tableColumn id="13" xr3:uid="{8EC9A388-C013-4727-8C79-B4CFD92CFBEE}" name="Location " dataDxfId="38">
      <calculatedColumnFormula>IF(Table3[[#This Row],[Sub Func. Loc.]]=Function_Location!$B$34,Function_Location!$C$34,IF(Table3[[#This Row],[Sub Func. Loc.]]=Function_Location!$B$35,Function_Location!$C$35,IF(Table3[[#This Row],[Sub Func. Loc.]]=Function_Location!$B$36,Function_Location!$C$36,IF(Table3[[#This Row],[Sub Func. Loc.]]=Function_Location!$B$37,Function_Location!$C$37,IF(Table3[[#This Row],[Sub Func. Loc.]]=Function_Location!$B$38=Function_Location!$C$38,Function_Location!$C$38,IF(Table3[[#This Row],[Sub Func. Loc.]]=Function_Location!$B$38,Function_Location!$C$38,IF(Table3[[#This Row],[Sub Func. Loc.]]=Function_Location!$B$39,Function_Location!$C$39,IF(Table3[[#This Row],[Sub Func. Loc.]]=Function_Location!$B$40,Function_Location!$C$40,IF(Table3[[#This Row],[Sub Func. Loc.]]=Function_Location!$B$41,Function_Location!$C$41,IF(Table3[[#This Row],[Sub Func. Loc.]]=Function_Location!$B$3,Function_Location!$C$3,IF(Table3[[#This Row],[Sub Func. Loc.]]=Function_Location!$B$4,Function_Location!$C$4,IF(Table3[[#This Row],[Sub Func. Loc.]]=Function_Location!$B$5,Function_Location!$C$5,IF(Table3[[#This Row],[Sub Func. Loc.]]=Function_Location!$B$6,Function_Location!$C$6,IF(Table3[[#This Row],[Sub Func. Loc.]]=Function_Location!$B$7,Function_Location!$C$7,IF(Table3[[#This Row],[Sub Func. Loc.]]=Function_Location!$B$8,Function_Location!$C$8,IF(Table3[[#This Row],[Sub Func. Loc.]]=Function_Location!$B$9,Function_Location!$C$9,IF(Table3[[#This Row],[Sub Func. Loc.]]=Function_Location!$B$10,Function_Location!$C$10,IF(Table3[[#This Row],[Sub Func. Loc.]]=Function_Location!$B$11,Function_Location!$C$11,IF(Table3[[#This Row],[Sub Func. Loc.]]=Function_Location!$B$12,Function_Location!$C$12,IF(Table3[[#This Row],[Sub Func. Loc.]]=Function_Location!$B$13,Function_Location!$C$13,IF(Table3[[#This Row],[Sub Func. Loc.]]=Function_Location!$B$14,Function_Location!$C$14,IF(Table3[[#This Row],[Sub Func. Loc.]]=Function_Location!$B$15,Function_Location!$C$15, IF(Table3[[#This Row],[Sub Func. Loc.]]=Function_Location!$B$17,Function_Location!$C$17,IF(Table3[[#This Row],[Sub Func. Loc.]]=Function_Location!$B$18,Function_Location!$C$18,IF(Table3[[#This Row],[Sub Func. Loc.]]=Function_Location!$B$19,Function_Location!$C$19,IF(Table3[[#This Row],[Sub Func. Loc.]]=Function_Location!$B$20,Function_Location!$C$20,IF(Table3[[#This Row],[Sub Func. Loc.]]=Function_Location!$B$21,Function_Location!$C$21,IF(Table3[[#This Row],[Sub Func. Loc.]]=Function_Location!$B$22,Function_Location!$C$22,IF(Table3[[#This Row],[Sub Func. Loc.]]=Function_Location!$B$23,Function_Location!$C$23,IF(Table3[[#This Row],[Sub Func. Loc.]]=Function_Location!$B$24,Function_Location!$C$24,IF(Table3[[#This Row],[Sub Func. Loc.]]=Function_Location!$B$25,Function_Location!$C$25,IF(Table3[[#This Row],[Sub Func. Loc.]]=Function_Location!$B$26,Function_Location!$C$26,IF(Table3[[#This Row],[Sub Func. Loc.]]=Function_Location!$B$27,Function_Location!$C$27,IF(Table3[[#This Row],[Sub Func. Loc.]]=Function_Location!$B$43,Function_Location!$C$43,IF(Table3[[#This Row],[Sub Func. Loc.]]=Function_Location!$B$44,Function_Location!$C$44,IF(Table3[[#This Row],[Sub Func. Loc.]]=Function_Location!$B$45,Function_Location!$C$45,IF(Table3[[#This Row],[Sub Func. Loc.]]=Function_Location!$B$46,Function_Location!$C$46,IF(Table3[[#This Row],[Sub Func. Loc.]]=Function_Location!$B$47,Function_Location!$C$47,IF(Table3[[#This Row],[Sub Func. Loc.]]=Function_Location!$B$48,Function_Location!$C$48,IF(Table3[[#This Row],[Sub Func. Loc.]]=Function_Location!$B$49,Function_Location!$C$49,IF(Table3[[#This Row],[Sub Func. Loc.]]=Function_Location!$B$50,Function_Location!$C$50,IF(Table3[[#This Row],[Sub Func. Loc.]]=Function_Location!$B$51,Function_Location!$C$51,IF(Table3[[#This Row],[Sub Func. Loc.]]=Function_Location!$B$52,Function_Location!$C$52,IF(Table3[[#This Row],[Sub Func. Loc.]]=Function_Location!$B$53,Function_Location!$C$53,IF(Table3[[#This Row],[Sub Func. Loc.]]=Function_Location!$B$55,Function_Location!$C$55,IF(Table3[[#This Row],[Sub Func. Loc.]]=Function_Location!$B$56,Function_Location!$C$56,IF(Table3[[#This Row],[Sub Func. Loc.]]=Function_Location!$B$57,Function_Location!$C$57,IF(Table3[[#This Row],[Sub Func. Loc.]]=Function_Location!$B$58,Function_Location!$C$58,IF(Table3[[#This Row],[Sub Func. Loc.]]=Function_Location!$B$59,Function_Location!$C$59,IF(Table3[[#This Row],[Sub Func. Loc.]]=Function_Location!$B$60,Function_Location!$C$60,IF(Table3[[#This Row],[Sub Func. Loc.]]=Function_Location!$B$61,Function_Location!$C$61,IF(Table3[[#This Row],[Sub Func. Loc.]]=Function_Location!$B$63,Function_Location!$C$63,IF(Table3[[#This Row],[Sub Func. Loc.]]=Function_Location!$B$64,Function_Location!$C$64,IF(Table3[[#This Row],[Sub Func. Loc.]]=Function_Location!$B$65,Function_Location!$C$65,IF(Table3[[#This Row],[Sub Func. Loc.]]=Function_Location!$B$29,Function_Location!$C$29,IF(Table3[[#This Row],[Sub Func. Loc.]]=Function_Location!$B$31,Function_Location!$C$31,IF(Table3[[#This Row],[Sub Func. Loc.]]=Function_Location!$B$32,Function_Location!$C$32)))))))))))))))))))))))))))))))))))))))))))))))))))))))))</calculatedColumnFormula>
    </tableColumn>
    <tableColumn id="14" xr3:uid="{5E043A82-2937-4367-B0C7-A5B23A74C269}" name="Km from"/>
    <tableColumn id="15" xr3:uid="{25ADC441-AC59-4A1E-B928-AAE20D3C5E42}" name="Km to"/>
    <tableColumn id="16" xr3:uid="{03867E0D-70CB-41DC-BCBF-DA388D06030F}" name="MPL Applicable"/>
    <tableColumn id="19" xr3:uid="{57BA6DE0-A1D7-4B05-BAB7-618EDF8A6F78}" name="MPL from" dataDxfId="37"/>
    <tableColumn id="20" xr3:uid="{AB07274D-3C5B-42B1-B27F-5227E355FEA1}" name="MPL to "/>
    <tableColumn id="21" xr3:uid="{671E6CFD-DB9E-4658-8C45-B5BB1A9C5C4F}" name="Description of Task"/>
    <tableColumn id="22" xr3:uid="{485A9763-3D19-4A03-8C97-763FC8EF268F}" name="Mat required "/>
    <tableColumn id="23" xr3:uid="{EC62CC18-0718-4377-92A6-56225D605575}" name="Material Options "/>
    <tableColumn id="3" xr3:uid="{44744785-BF90-4CBC-9C15-2BB483A46504}" name="Qty."/>
    <tableColumn id="4" xr3:uid="{CEC9D97D-DE37-42FE-A373-63AA4BB14CEA}" name="Maint Act"/>
    <tableColumn id="17" xr3:uid="{B033B20B-D7F4-41E3-A8C3-EA93FAF57929}" name="Priority 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9976152-2B8B-42FC-B0A3-0CCF080713F7}" name="Table22" displayName="Table22" ref="C1:D2" insertRowShift="1" totalsRowShown="0">
  <autoFilter ref="C1:D2" xr:uid="{2EA1937F-66C9-4B7D-A179-7857C6333393}"/>
  <tableColumns count="2">
    <tableColumn id="1" xr3:uid="{78B400AA-4343-40F4-A152-A3D0894E2988}" name="Yes"/>
    <tableColumn id="2" xr3:uid="{851D828C-CDEA-4B9B-9913-C229E8D34E88}" name="N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3D1E035-280A-4FAC-98B1-87C3CCA0819A}" name="Table23" displayName="Table23" ref="A1:A3" totalsRowShown="0">
  <autoFilter ref="A1:A3" xr:uid="{D252FB40-B7F6-4197-ACF9-CE9BA5FB3EFF}"/>
  <tableColumns count="1">
    <tableColumn id="1" xr3:uid="{8E3B1F74-8A17-458E-82B3-3E42CA159F90}" name="Options 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D8D911-9471-4F53-B20E-EF6A1CFC80C1}" name="Table10" displayName="Table10" ref="A1:A7" totalsRowShown="0" headerRowDxfId="36" dataDxfId="35">
  <autoFilter ref="A1:A7" xr:uid="{27E654C7-8CB8-41B3-B57A-51D15ADFA01C}"/>
  <tableColumns count="1">
    <tableColumn id="1" xr3:uid="{47E3D38A-4B5B-4176-A89E-DD58530F0234}" name="Maint Act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143288-54DE-4472-8E1C-2F58D020433D}" name="Table21" displayName="Table21" ref="A1:A4" totalsRowShown="0" headerRowDxfId="33" dataDxfId="32">
  <autoFilter ref="A1:A4" xr:uid="{65C02778-CD50-4507-B4F7-D4271158E4FB}"/>
  <tableColumns count="1">
    <tableColumn id="1" xr3:uid="{FC636701-037A-4942-B75D-3343C7F8ABC9}" name="Priority" dataDxfId="3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E60511-CC5E-4ABA-9F56-E012E132056E}" name="Table6" displayName="Table6" ref="A1:A2" totalsRowShown="0">
  <autoFilter ref="A1:A2" xr:uid="{E8A1A402-7F16-4577-B13F-81A2F270D41C}"/>
  <tableColumns count="1">
    <tableColumn id="1" xr3:uid="{BDF56B4D-3FB9-4DAE-B17E-EF263FC3FE04}" name="Discipl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BA832E-E9ED-4335-8184-43A73CA89F6B}" name="Table7" displayName="Table7" ref="A1:A2" totalsRowShown="0">
  <autoFilter ref="A1:A2" xr:uid="{16033396-AA3F-43DC-8E61-1D6D862AAD26}"/>
  <tableColumns count="1">
    <tableColumn id="1" xr3:uid="{336763BD-B150-469E-8797-8395E15F73C7}" name="PM Number 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F3C258-8275-40BE-992D-DA5F0E30998D}" name="Table39" displayName="Table39" ref="A1:A1048576" totalsRowShown="0">
  <autoFilter ref="A1:A1048576" xr:uid="{86FD186F-2F04-4115-B420-F0002D8D6BB7}"/>
  <tableColumns count="1">
    <tableColumn id="1" xr3:uid="{1BB534EA-5007-46A6-8CA5-A4A2F6432B00}" name="WorkCnt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697B334-AFA2-4627-BB3D-2A5E79AC362C}" name="Table36" displayName="Table36" ref="A1:A1048576" totalsRowShown="0">
  <autoFilter ref="A1:A1048576" xr:uid="{86FD186F-2F04-4115-B420-F0002D8D6BB7}"/>
  <tableColumns count="1">
    <tableColumn id="1" xr3:uid="{08FA5376-990A-4888-AA09-479CA31BDAC4}" name="WorkCnt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D00A59-3B47-40E4-BF91-2A8A248C5012}" name="Table4" displayName="Table4" ref="A1:A1048576" totalsRowShown="0">
  <autoFilter ref="A1:A1048576" xr:uid="{B506CD4C-6FD5-4FFC-A8C1-9CC7B7EACD34}"/>
  <tableColumns count="1">
    <tableColumn id="1" xr3:uid="{28FA6565-F5EC-4C4D-B418-F0C302A665EB}" name="WC Type 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92A8F3-CB32-454D-95E7-54A1AA66F36D}" name="Table5" displayName="Table5" ref="C1:C1048576" totalsRowShown="0">
  <autoFilter ref="C1:C1048576" xr:uid="{47525E9F-A429-4831-97EF-354D749463A1}"/>
  <tableColumns count="1">
    <tableColumn id="1" xr3:uid="{D14615E4-CC74-4C46-956A-60A7051856DB}" name="Team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B1EB08-0ED5-4B27-961A-6F5791B026D5}" name="Table1" displayName="Table1" ref="K2:K10" totalsRowShown="0">
  <autoFilter ref="K2:K10" xr:uid="{EB230D10-0B83-46A5-8DC1-2A17E57FEFBB}"/>
  <tableColumns count="1">
    <tableColumn id="1" xr3:uid="{423C3C2D-28D7-4427-9419-79F0894C63FF}" name="FunctionLocation Lis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19CA98-5EF3-4F53-B8C8-420DF4C4E76A}" name="Table11" displayName="Table11" ref="M2:M10" totalsRowShown="0" headerRowDxfId="30" dataDxfId="29">
  <autoFilter ref="M2:M10" xr:uid="{0DACF2B1-2096-4450-A8AE-654BE972CB3C}"/>
  <tableColumns count="1">
    <tableColumn id="1" xr3:uid="{E04DDB62-26ED-4828-8BF5-77775889B00A}" name="LB22" dataDxfId="2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838268C-5F4E-4DC0-9917-49F8F9869148}" name="Table12" displayName="Table12" ref="O2:O3" totalsRowShown="0" headerRowDxfId="27" dataDxfId="26">
  <autoFilter ref="O2:O3" xr:uid="{8333F6BB-ECCE-42A8-95A5-B87A0E5671C0}"/>
  <tableColumns count="1">
    <tableColumn id="1" xr3:uid="{C481F5E7-51EB-4AFA-A00C-0DDEA22D5CA8}" name="LB27" dataDxfId="2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FC12573-797D-4BBC-B0DB-25319C02664B}" name="Table13" displayName="Table13" ref="Q2:Q15" totalsRowShown="0" headerRowDxfId="24" dataDxfId="23">
  <autoFilter ref="Q2:Q15" xr:uid="{28256F22-8913-4EEC-AA18-059492F5B75C}"/>
  <tableColumns count="1">
    <tableColumn id="1" xr3:uid="{33A9C7BC-907C-40A0-8C8E-38A55F6745EE}" name="LB28" dataDxfId="2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A8E0C2D-E36A-45BF-BEBC-11D7CB6D9F8D}" name="Table14" displayName="Table14" ref="S2:S13" totalsRowShown="0" headerRowDxfId="21" dataDxfId="20">
  <autoFilter ref="S2:S13" xr:uid="{9ED840CC-BDF3-437C-B539-3BBB9E1C657D}"/>
  <tableColumns count="1">
    <tableColumn id="1" xr3:uid="{CD5324FC-AF38-45EF-B528-179A40D3A34B}" name="LB29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7E428E-B54C-4477-A6CB-FE43E368D31A}" name="Table15" displayName="Table15" ref="U2:U5" totalsRowShown="0" headerRowDxfId="18" dataDxfId="17">
  <autoFilter ref="U2:U5" xr:uid="{8C6613B7-4AE6-4489-8D9D-7051495A65CC}"/>
  <tableColumns count="1">
    <tableColumn id="1" xr3:uid="{113A6145-C758-4254-AD1E-7101BB71FC49}" name="LB30" dataDxf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1841B6-522C-473A-9D0B-A8BA69AAB841}" name="Table16" displayName="Table16" ref="W2:W9" totalsRowShown="0" headerRowDxfId="15" dataDxfId="14">
  <autoFilter ref="W2:W9" xr:uid="{A22C6094-D338-4DFC-B8B2-2B5C6302F148}"/>
  <tableColumns count="1">
    <tableColumn id="1" xr3:uid="{4F2093F5-6D64-46D7-9090-EB0DD4C02590}" name="LB31" dataDxfId="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5CA3943-D22D-469C-990B-06A7DF4503AE}" name="Table17" displayName="Table17" ref="Y2:Y13" totalsRowShown="0" headerRowDxfId="12" dataDxfId="11">
  <autoFilter ref="Y2:Y13" xr:uid="{030FD03F-02D4-4654-B3E1-1996D3611E85}"/>
  <tableColumns count="1">
    <tableColumn id="1" xr3:uid="{E47518CA-6916-480B-9226-1CCF03B36BBB}" name="LB40" dataDxfId="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C477594-BA24-4752-8E97-06881E822B33}" name="Table18" displayName="Table18" ref="AA2:AA4" totalsRowShown="0" headerRowDxfId="9" dataDxfId="8">
  <autoFilter ref="AA2:AA4" xr:uid="{5E42A11C-27FD-4A1D-B992-1BBAA11CBA2F}"/>
  <tableColumns count="1">
    <tableColumn id="1" xr3:uid="{360E890B-8628-489F-AEDC-D84F45B47A80}" name="LB69" dataDxfId="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5D6148E-11E1-49D2-BEED-ECD431F3FFC6}" name="Table9" displayName="Table9" ref="A1:A3" totalsRowShown="0">
  <autoFilter ref="A1:A3" xr:uid="{52EA2E3F-8ECB-4593-A968-DD0A292F812A}"/>
  <tableColumns count="1">
    <tableColumn id="1" xr3:uid="{2A0DEBC3-8C37-497B-A6EA-CD2AC5DEF28B}" name="MPL 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472855D-034A-4C59-85D1-DF749B9CF118}" name="Table19" displayName="Table19" ref="C1:D2" totalsRowShown="0" headerRowDxfId="6" dataDxfId="5">
  <autoFilter ref="C1:D2" xr:uid="{27BB62B6-1A83-465F-9688-DD13260E1EDF}"/>
  <tableColumns count="2">
    <tableColumn id="1" xr3:uid="{D48A7DA9-443E-4C01-A7E2-95B623D88071}" name="Yes" dataDxfId="4"/>
    <tableColumn id="2" xr3:uid="{4E4AA1B3-18E7-4E60-BF5B-CF9A4C65EBA1}" name="No" dataDxfId="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1E23D1A-0223-402C-87FF-CA6015AD8562}" name="Table20" displayName="Table20" ref="A1:A4" totalsRowShown="0" headerRowDxfId="2" dataDxfId="1">
  <autoFilter ref="A1:A4" xr:uid="{C0880EB6-01AC-4600-8E35-96F79396C999}"/>
  <tableColumns count="1">
    <tableColumn id="1" xr3:uid="{3CBBF9A0-18D2-4DE5-B7C8-782B8B356533}" name="DescriptionofTask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Relationship Id="rId9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26832-D430-4A6E-A5C9-EC1A74A9F7EC}">
  <sheetPr codeName="Sheet1"/>
  <dimension ref="A3:GA5"/>
  <sheetViews>
    <sheetView tabSelected="1" zoomScale="61" zoomScaleNormal="66" workbookViewId="0">
      <selection activeCell="G4" sqref="G4"/>
    </sheetView>
  </sheetViews>
  <sheetFormatPr defaultRowHeight="14.5" x14ac:dyDescent="0.35"/>
  <cols>
    <col min="1" max="3" width="8.7265625" style="8"/>
    <col min="4" max="4" width="18.08984375" style="8" customWidth="1"/>
    <col min="5" max="5" width="17.36328125" style="8" customWidth="1"/>
    <col min="6" max="6" width="20.453125" style="8" customWidth="1"/>
    <col min="7" max="7" width="17.08984375" style="8" customWidth="1"/>
    <col min="8" max="8" width="18.6328125" style="8" customWidth="1"/>
    <col min="9" max="9" width="18.1796875" style="8" customWidth="1"/>
    <col min="10" max="10" width="18.90625" style="8" customWidth="1"/>
    <col min="11" max="11" width="40.1796875" style="8" customWidth="1"/>
    <col min="12" max="12" width="16.08984375" style="8" customWidth="1"/>
    <col min="13" max="13" width="20.1796875" style="8" customWidth="1"/>
    <col min="14" max="14" width="29.54296875" style="8" customWidth="1"/>
    <col min="15" max="15" width="15.81640625" style="8" customWidth="1"/>
    <col min="16" max="16" width="15.453125" style="8" customWidth="1"/>
    <col min="17" max="17" width="22.453125" style="8" customWidth="1"/>
    <col min="18" max="18" width="25" style="8" customWidth="1"/>
    <col min="19" max="19" width="19" style="8" customWidth="1"/>
    <col min="20" max="20" width="33.54296875" style="8" customWidth="1"/>
    <col min="21" max="21" width="18.90625" style="8" customWidth="1"/>
    <col min="22" max="22" width="20.7265625" style="8" customWidth="1"/>
    <col min="23" max="23" width="13.36328125" style="8" customWidth="1"/>
    <col min="24" max="24" width="17.7265625" style="8" customWidth="1"/>
    <col min="25" max="25" width="13.36328125" style="8" customWidth="1"/>
    <col min="26" max="16384" width="8.7265625" style="8"/>
  </cols>
  <sheetData>
    <row r="3" spans="1:183" s="1" customFormat="1" x14ac:dyDescent="0.35">
      <c r="A3" s="7"/>
      <c r="B3" s="7"/>
      <c r="C3" s="7"/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1" t="s">
        <v>7</v>
      </c>
      <c r="L3" s="4" t="s">
        <v>8</v>
      </c>
      <c r="M3" s="4" t="s">
        <v>144</v>
      </c>
      <c r="N3" s="4" t="s">
        <v>145</v>
      </c>
      <c r="O3" s="1" t="s">
        <v>9</v>
      </c>
      <c r="P3" s="1" t="s">
        <v>10</v>
      </c>
      <c r="Q3" s="1" t="s">
        <v>146</v>
      </c>
      <c r="R3" s="1" t="s">
        <v>295</v>
      </c>
      <c r="S3" s="1" t="s">
        <v>296</v>
      </c>
      <c r="T3" s="1" t="s">
        <v>147</v>
      </c>
      <c r="U3" s="1" t="s">
        <v>148</v>
      </c>
      <c r="V3" s="1" t="s">
        <v>149</v>
      </c>
      <c r="W3" s="1" t="s">
        <v>11</v>
      </c>
      <c r="X3" s="1" t="s">
        <v>150</v>
      </c>
      <c r="Y3" s="1" t="s">
        <v>151</v>
      </c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</row>
    <row r="4" spans="1:183" s="17" customFormat="1" x14ac:dyDescent="0.35">
      <c r="A4" s="16"/>
      <c r="B4" s="16"/>
      <c r="C4" s="16"/>
      <c r="H4" s="18" t="b">
        <f>IF(Table3[[#This Row],[Work Centre]]=WorkCntrData!$A$2,WorkCntrData!$E$2,IF(Table3[[#This Row],[Work Centre]]=WorkCntrData!$A$3,WorkCntrData!$E$3,IF(Table3[[#This Row],[Work Centre]]=WorkCntrData!$A$4,WorkCntrData!$E$4,IF(Table3[[#This Row],[Work Centre]]=WorkCntrData!$A$5,WorkCntrData!$E$5,IF(Table3[[#This Row],[Work Centre]]=WorkCntrData!$A$6,WorkCntrData!$E$6,IF(Table3[[#This Row],[Work Centre]]=WorkCntrData!$A$7,WorkCntrData!$E$7, IF(Table3[[#This Row],[Work Centre]]=WorkCntrData!$A$8,WorkCntrData!$E$8,IF(Table3[[#This Row],[Work Centre]]=WorkCntrData!$A$9,WorkCntrData!$E$9,IF(Table3[[#This Row],[Work Centre]]=WorkCntrData!$A$10,WorkCntrData!$E$10,IF(Table3[[#This Row],[Work Centre]]=WorkCntrData!$A$11,WorkCntrData!$E$11,IF(Table3[[#This Row],[Work Centre]]=WorkCntrData!$A$12,WorkCntrData!$E$12,IF(Table3[[#This Row],[Work Centre]]=WorkCntrData!$A$13,WorkCntrData!$E$13,IF(Table3[[#This Row],[Work Centre]]=WorkCntrData!$A$15,WorkCntrData!$E$15,IF(Table3[[#This Row],[Work Centre]]=WorkCntrData!$A$16,WorkCntrData!$E$16,IF(Table3[[#This Row],[Work Centre]]=WorkCntrData!$A$17,WorkCntrData!$E$17,IF(Table3[[#This Row],[Work Centre]]=WorkCntrData!$A$18,WorkCntrData!$E$18,IF(Table3[[#This Row],[Work Centre]]=WorkCntrData!$A$19,WorkCntrData!$E$19,IF(Table3[[#This Row],[Work Centre]]=WorkCntrData!$A$20,WorkCntrData!$E$20,IF(Table3[[#This Row],[Work Centre]]=WorkCntrData!$A$21,WorkCntrData!$E$21,IF(Table3[[#This Row],[Work Centre]]=WorkCntrData!$A$22,WorkCntrData!$E$22,IF(Table3[[#This Row],[Work Centre]]=WorkCntrData!$A$23,WorkCntrData!$E$23,IF(Table3[[#This Row],[Work Centre]]=WorkCntrData!$A$24,WorkCntrData!$E$24,IF(Table3[[#This Row],[Work Centre]]=WorkCntrData!$A$25,WorkCntrData!$E$25,IF(Table3[[#This Row],[Work Centre]]=WorkCntrData!$A$26,WorkCntrData!$E$26,IF(Table3[[#This Row],[Work Centre]]=WorkCntrData!$A$27,WorkCntrData!$E$27,IF(Table3[[#This Row],[Work Centre]]=WorkCntrData!$A$28,WorkCntrData!$E$28,IF(Table3[[#This Row],[Work Centre]]=WorkCntrData!$A$29,WorkCntrData!$E$29,IF(Table3[[#This Row],[Work Centre]]=WorkCntrData!$A$30,WorkCntrData!$E$30,IF(Table3[[#This Row],[Work Centre]]=WorkCntrData!$A$30,WorkCntrData!$E$30,IF(Table3[[#This Row],[Work Centre]]=WorkCntrData!$A$31,WorkCntrData!$E$31,IF(Table3[[#This Row],[Work Centre]]=WorkCntrData!$A$32,WorkCntrData!$E$32,IF(Table3[[#This Row],[Work Centre]]=WorkCntrData!$A$33,WorkCntrData!$E$33,IF(Table3[[#This Row],[Work Centre]]=WorkCntrData!$A$34,WorkCntrData!$E$34,IF(Table3[[#This Row],[Work Centre]]=WorkCntrData!$A$35,WorkCntrData!$E$35,IF(Table3[[#This Row],[Work Centre]]=WorkCntrData!$A$36,WorkCntrData!$E$36,IF(Table3[[#This Row],[Work Centre]]=WorkCntrData!$A$37,WorkCntrData!$E$37,IF(Table3[[#This Row],[Work Centre]]=WorkCntrData!$A$38,WorkCntrData!$E$38,IF(Table3[[#This Row],[Work Centre]]=WorkCntrData!$A$39,WorkCntrData!$E$39))))))))))))))))))))))))))))))))))))))</f>
        <v>0</v>
      </c>
      <c r="I4" s="18" t="b">
        <f>IF(Table3[[#This Row],[Work Centre]]=WorkCenterDetails!$A$11,'Team Details'!$C$2,IF(Table3[[#This Row],[Work Centre]]=WorkCenterDetails!$A$15,'Team Details'!$C$2,IF(Table3[[#This Row],[Work Centre]]=WorkCenterDetails!$A$5,'Team Details'!$C$3)))</f>
        <v>0</v>
      </c>
      <c r="J4" s="18" t="b">
        <f>IF(Table3[[#This Row],[Work Centre]]=WorkCenterDetails!$A$15,5,IF(Table3[[#This Row],[Work Centre]]=WorkCenterDetails!$A$11,5,IF(Table3[[#This Row],[Work Centre]]=WorkCenterDetails!$A$5,14)))</f>
        <v>0</v>
      </c>
      <c r="K4" s="19">
        <f>IF(Table3[[#This Row],[Location ]]=Function_Location!$C$39,Function_Location!$D$3,IF(Table3[[#This Row],[Location ]]=Function_Location!$C$39,Function_Location!$D$39,IF(Table3[[#This Row],[Location ]]=Function_Location!$C$32,Function_Location!$D$32,IF(Table3[[#This Row],[Location ]]=Function_Location!$C$34,Function_Location!$D$34,IF(Table3[[#This Row],[Location ]]=Function_Location!$C$35,Function_Location!$D$34,IF(Table3[[#This Row],[Location ]]=Function_Location!$C$36,Function_Location!$D$36,IF(Table3[[#This Row],[Location ]]=Function_Location!$C$37,Function_Location!$D$37,IF(Table3[[#This Row],[Location ]]=Function_Location!$C$38,Function_Location!$D$38,IF(Table3[[#This Row],[Location ]]=Function_Location!$C$39,Function_Location!$D$39,IF(Table3[[#This Row],[Location ]]=Function_Location!$C$40,Function_Location!$D$40,IF(Table3[[#This Row],[Location ]]=Function_Location!$C$41,Function_Location!$D$41,IF(Table3[[#This Row],[Location ]]=Function_Location!$C$3,Function_Location!$D$3,IF(Table3[[#This Row],[Location ]]=Function_Location!$C$4,Function_Location!$D$4,IF(Table3[[#This Row],[Location ]]=Function_Location!$C$5,Function_Location!$D$5,IF(Table3[[#This Row],[Location ]]=Function_Location!$C$6,Function_Location!$D$6,IF(Table3[[#This Row],[Location ]]=Function_Location!$C$7,Function_Location!$D$7,IF(Table3[[#This Row],[Location ]]=Function_Location!$C$8,Function_Location!$D$8,IF(Table3[[#This Row],[Location ]]=Function_Location!$C$9,Function_Location!$D$9,IF(Table3[[#This Row],[Location ]]=Function_Location!$C$10,Function_Location!$D$10,IF(Table3[[#This Row],[Location ]]=Function_Location!$C$11,Function_Location!$D$11,IF(Table3[[#This Row],[Location ]]=Function_Location!$C$12,Function_Location!$D$12,IF(Table3[[#This Row],[Location ]]=Function_Location!$C$13,Function_Location!$D$13,IF(Table3[[#This Row],[Location ]]=Function_Location!$C$14,Function_Location!$D$14,IF(Table3[[#This Row],[Location ]]=Function_Location!$C$15,Function_Location!$D$15,IF(Table3[[#This Row],[Location ]]=Function_Location!$C$17,Function_Location!$D$17,IF(Table3[[#This Row],[Location ]]=Function_Location!$C$18,Function_Location!$D$18,IF(Table3[[#This Row],[Location ]]=Function_Location!$C$19,Function_Location!$D$19,IF(Table3[[#This Row],[Location ]]=Function_Location!$C$20,Function_Location!$D$20,IF(Table3[[#This Row],[Location ]]=Function_Location!$C$21,Function_Location!$D$21,IF(Table3[[#This Row],[Location ]]=Function_Location!$C$22,Function_Location!$D$22,IF(Table3[[#This Row],[Location ]]=Function_Location!$C$23,Function_Location!$D$23,IF(Table3[[#This Row],[Location ]]=Function_Location!$C$24,Function_Location!$D$24,IF(Table3[[#This Row],[Location ]]=Function_Location!$C$25,Function_Location!$D$25,IF(Table3[[#This Row],[Location ]]=Function_Location!$C$26,Function_Location!$D$26,IF(Table3[[#This Row],[Location ]]=Function_Location!$C$27,Function_Location!$D$27,IF(Table3[[#This Row],[Location ]]=Function_Location!$C$43,Function_Location!$D$43,IF(Table3[[#This Row],[Location ]]=Function_Location!$C$44,Function_Location!$D$44,IF(Table3[[#This Row],[Location ]]=Function_Location!$C$45,Function_Location!$D$45,IF(Table3[[#This Row],[Location ]]=Function_Location!$C$46,Function_Location!$D$46,IF(Table3[[#This Row],[Location ]]=Function_Location!$C$47,Function_Location!$D$47,IF(Table3[[#This Row],[Location ]]=Function_Location!$C$48,Function_Location!$D$48,IF(Table3[[#This Row],[Location ]]=Function_Location!$C$49,Function_Location!$D$49,IF(Table3[[#This Row],[Location ]]=Function_Location!$C$50,Function_Location!$D$50,IF(Table3[[#This Row],[Location ]]=Function_Location!$C$51,Function_Location!$D$51,IF(Table3[[#This Row],[Location ]]=Function_Location!$C$52,Function_Location!$D$52,IF(Table3[[#This Row],[Location ]]=Function_Location!$C$53,Function_Location!$D$53,IF(Table3[[#This Row],[Location ]]=Function_Location!$C$55,Function_Location!$D$55,IF(Table3[[#This Row],[Location ]]=Function_Location!$C$56,Function_Location!$D$56,IF(Table3[[#This Row],[Location ]]=Function_Location!$C$57,Function_Location!$D$57,IF(Table3[[#This Row],[Location ]]=Function_Location!$C$58,Function_Location!$D$58,IF(Table3[[#This Row],[Location ]]=Function_Location!$C$59,Function_Location!$D$59,IF(Table3[[#This Row],[Location ]]=Function_Location!$C$60,Function_Location!$D$60,IF(Table3[[#This Row],[Location ]]=Function_Location!$C$61,Function_Location!$D$61,IF(Table3[[#This Row],[Location ]]=Function_Location!$C$63,Function_Location!$D$63,IF(Table3[[#This Row],[Location ]]=Function_Location!$C$64,Function_Location!$D$64,IF(Table3[[#This Row],[Location ]]=Function_Location!$C$65,Function_Location!$D$65,IF(Table3[[#This Row],[Location ]]=Function_Location!$C$29,Function_Location!$D$29,IF(Table3[[#This Row],[Location ]]=Function_Location!$C$30,Function_Location!$D$30,IF(Table3[[#This Row],[Location ]]=Function_Location!$C$31,Function_Location!$D$31)))))))))))))))))))))))))))))))))))))))))))))))))))))))))))</f>
        <v>0</v>
      </c>
      <c r="N4" s="18" t="b">
        <f>IF(Table3[[#This Row],[Sub Func. Loc.]]=Function_Location!$B$34,Function_Location!$C$34,IF(Table3[[#This Row],[Sub Func. Loc.]]=Function_Location!$B$35,Function_Location!$C$35,IF(Table3[[#This Row],[Sub Func. Loc.]]=Function_Location!$B$36,Function_Location!$C$36,IF(Table3[[#This Row],[Sub Func. Loc.]]=Function_Location!$B$37,Function_Location!$C$37,IF(Table3[[#This Row],[Sub Func. Loc.]]=Function_Location!$B$38=Function_Location!$C$38,Function_Location!$C$38,IF(Table3[[#This Row],[Sub Func. Loc.]]=Function_Location!$B$38,Function_Location!$C$38,IF(Table3[[#This Row],[Sub Func. Loc.]]=Function_Location!$B$39,Function_Location!$C$39,IF(Table3[[#This Row],[Sub Func. Loc.]]=Function_Location!$B$40,Function_Location!$C$40,IF(Table3[[#This Row],[Sub Func. Loc.]]=Function_Location!$B$41,Function_Location!$C$41,IF(Table3[[#This Row],[Sub Func. Loc.]]=Function_Location!$B$3,Function_Location!$C$3,IF(Table3[[#This Row],[Sub Func. Loc.]]=Function_Location!$B$4,Function_Location!$C$4,IF(Table3[[#This Row],[Sub Func. Loc.]]=Function_Location!$B$5,Function_Location!$C$5,IF(Table3[[#This Row],[Sub Func. Loc.]]=Function_Location!$B$6,Function_Location!$C$6,IF(Table3[[#This Row],[Sub Func. Loc.]]=Function_Location!$B$7,Function_Location!$C$7,IF(Table3[[#This Row],[Sub Func. Loc.]]=Function_Location!$B$8,Function_Location!$C$8,IF(Table3[[#This Row],[Sub Func. Loc.]]=Function_Location!$B$9,Function_Location!$C$9,IF(Table3[[#This Row],[Sub Func. Loc.]]=Function_Location!$B$10,Function_Location!$C$10,IF(Table3[[#This Row],[Sub Func. Loc.]]=Function_Location!$B$11,Function_Location!$C$11,IF(Table3[[#This Row],[Sub Func. Loc.]]=Function_Location!$B$12,Function_Location!$C$12,IF(Table3[[#This Row],[Sub Func. Loc.]]=Function_Location!$B$13,Function_Location!$C$13,IF(Table3[[#This Row],[Sub Func. Loc.]]=Function_Location!$B$14,Function_Location!$C$14,IF(Table3[[#This Row],[Sub Func. Loc.]]=Function_Location!$B$15,Function_Location!$C$15, IF(Table3[[#This Row],[Sub Func. Loc.]]=Function_Location!$B$17,Function_Location!$C$17,IF(Table3[[#This Row],[Sub Func. Loc.]]=Function_Location!$B$18,Function_Location!$C$18,IF(Table3[[#This Row],[Sub Func. Loc.]]=Function_Location!$B$19,Function_Location!$C$19,IF(Table3[[#This Row],[Sub Func. Loc.]]=Function_Location!$B$20,Function_Location!$C$20,IF(Table3[[#This Row],[Sub Func. Loc.]]=Function_Location!$B$21,Function_Location!$C$21,IF(Table3[[#This Row],[Sub Func. Loc.]]=Function_Location!$B$22,Function_Location!$C$22,IF(Table3[[#This Row],[Sub Func. Loc.]]=Function_Location!$B$23,Function_Location!$C$23,IF(Table3[[#This Row],[Sub Func. Loc.]]=Function_Location!$B$24,Function_Location!$C$24,IF(Table3[[#This Row],[Sub Func. Loc.]]=Function_Location!$B$25,Function_Location!$C$25,IF(Table3[[#This Row],[Sub Func. Loc.]]=Function_Location!$B$26,Function_Location!$C$26,IF(Table3[[#This Row],[Sub Func. Loc.]]=Function_Location!$B$27,Function_Location!$C$27,IF(Table3[[#This Row],[Sub Func. Loc.]]=Function_Location!$B$43,Function_Location!$C$43,IF(Table3[[#This Row],[Sub Func. Loc.]]=Function_Location!$B$44,Function_Location!$C$44,IF(Table3[[#This Row],[Sub Func. Loc.]]=Function_Location!$B$45,Function_Location!$C$45,IF(Table3[[#This Row],[Sub Func. Loc.]]=Function_Location!$B$46,Function_Location!$C$46,IF(Table3[[#This Row],[Sub Func. Loc.]]=Function_Location!$B$47,Function_Location!$C$47,IF(Table3[[#This Row],[Sub Func. Loc.]]=Function_Location!$B$48,Function_Location!$C$48,IF(Table3[[#This Row],[Sub Func. Loc.]]=Function_Location!$B$49,Function_Location!$C$49,IF(Table3[[#This Row],[Sub Func. Loc.]]=Function_Location!$B$50,Function_Location!$C$50,IF(Table3[[#This Row],[Sub Func. Loc.]]=Function_Location!$B$51,Function_Location!$C$51,IF(Table3[[#This Row],[Sub Func. Loc.]]=Function_Location!$B$52,Function_Location!$C$52,IF(Table3[[#This Row],[Sub Func. Loc.]]=Function_Location!$B$53,Function_Location!$C$53,IF(Table3[[#This Row],[Sub Func. Loc.]]=Function_Location!$B$55,Function_Location!$C$55,IF(Table3[[#This Row],[Sub Func. Loc.]]=Function_Location!$B$56,Function_Location!$C$56,IF(Table3[[#This Row],[Sub Func. Loc.]]=Function_Location!$B$57,Function_Location!$C$57,IF(Table3[[#This Row],[Sub Func. Loc.]]=Function_Location!$B$58,Function_Location!$C$58,IF(Table3[[#This Row],[Sub Func. Loc.]]=Function_Location!$B$59,Function_Location!$C$59,IF(Table3[[#This Row],[Sub Func. Loc.]]=Function_Location!$B$60,Function_Location!$C$60,IF(Table3[[#This Row],[Sub Func. Loc.]]=Function_Location!$B$61,Function_Location!$C$61,IF(Table3[[#This Row],[Sub Func. Loc.]]=Function_Location!$B$63,Function_Location!$C$63,IF(Table3[[#This Row],[Sub Func. Loc.]]=Function_Location!$B$64,Function_Location!$C$64,IF(Table3[[#This Row],[Sub Func. Loc.]]=Function_Location!$B$65,Function_Location!$C$65,IF(Table3[[#This Row],[Sub Func. Loc.]]=Function_Location!$B$29,Function_Location!$C$29,IF(Table3[[#This Row],[Sub Func. Loc.]]=Function_Location!$B$31,Function_Location!$C$31,IF(Table3[[#This Row],[Sub Func. Loc.]]=Function_Location!$B$32,Function_Location!$C$32)))))))))))))))))))))))))))))))))))))))))))))))))))))))))</f>
        <v>0</v>
      </c>
      <c r="R4" s="18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16"/>
    </row>
    <row r="5" spans="1:183" customFormat="1" ht="30" customHeight="1" x14ac:dyDescent="0.35">
      <c r="A5" s="8"/>
      <c r="B5" s="8"/>
      <c r="C5" s="8"/>
      <c r="D5" s="6"/>
      <c r="E5" s="6"/>
      <c r="F5" s="6"/>
      <c r="G5" s="6"/>
      <c r="H5" s="6"/>
      <c r="I5" s="6"/>
      <c r="J5" s="6"/>
      <c r="K5" s="12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</row>
  </sheetData>
  <sheetProtection selectLockedCells="1"/>
  <dataValidations count="11">
    <dataValidation type="list" allowBlank="1" showInputMessage="1" showErrorMessage="1" sqref="G5" xr:uid="{1FFDB60B-E125-4CF0-BE81-AA25D59F71FA}">
      <formula1>WC_Type</formula1>
    </dataValidation>
    <dataValidation type="list" allowBlank="1" showInputMessage="1" showErrorMessage="1" sqref="D4" xr:uid="{0682F850-772E-4EEC-ADEE-13E2DEF27E95}">
      <formula1>Discipline</formula1>
    </dataValidation>
    <dataValidation type="list" allowBlank="1" showInputMessage="1" showErrorMessage="1" sqref="F4" xr:uid="{04563015-2FBC-4561-9886-419D330565DB}">
      <formula1>WorkCenter</formula1>
    </dataValidation>
    <dataValidation type="list" allowBlank="1" showInputMessage="1" showErrorMessage="1" sqref="G4" xr:uid="{24EBA66D-B987-419D-8FEC-61ED384CBF82}">
      <formula1>WorkCenterType</formula1>
    </dataValidation>
    <dataValidation type="list" allowBlank="1" showInputMessage="1" showErrorMessage="1" sqref="L4" xr:uid="{F331DDDE-8E84-4ECD-B094-8064937D916F}">
      <formula1>FunctionLocation</formula1>
    </dataValidation>
    <dataValidation type="list" allowBlank="1" showInputMessage="1" showErrorMessage="1" sqref="Q4 U4" xr:uid="{AA39A2FC-37D4-4C25-80D2-68ECA6DFA649}">
      <formula1>Yes_No_Options</formula1>
    </dataValidation>
    <dataValidation type="list" allowBlank="1" showInputMessage="1" sqref="T4" xr:uid="{06CA7CCC-2F3E-45A1-81BB-207E388BE590}">
      <formula1>DescriptionOfTasks</formula1>
    </dataValidation>
    <dataValidation type="list" allowBlank="1" showInputMessage="1" showErrorMessage="1" sqref="X4" xr:uid="{913F8064-31E0-4839-89EA-C9418EBA689F}">
      <formula1>Maint_Act</formula1>
    </dataValidation>
    <dataValidation type="list" allowBlank="1" showInputMessage="1" showErrorMessage="1" sqref="Y4" xr:uid="{6A7AF871-5341-41CE-B6BA-E8A02E041F73}">
      <formula1>Priority</formula1>
    </dataValidation>
    <dataValidation type="list" allowBlank="1" showInputMessage="1" sqref="E4" xr:uid="{2C84242C-7FB1-45F7-9A11-76FCB7C86ECC}">
      <formula1>PMnumber</formula1>
    </dataValidation>
    <dataValidation type="list" allowBlank="1" showInputMessage="1" showErrorMessage="1" sqref="M4" xr:uid="{610894ED-92FD-4E62-B79A-E4F9855F618B}">
      <formula1>INDIRECT(L4)</formula1>
    </dataValidation>
  </dataValidations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3</xdr:col>
                <xdr:colOff>31750</xdr:colOff>
                <xdr:row>4</xdr:row>
                <xdr:rowOff>57150</xdr:rowOff>
              </from>
              <to>
                <xdr:col>24</xdr:col>
                <xdr:colOff>889000</xdr:colOff>
                <xdr:row>5</xdr:row>
                <xdr:rowOff>158750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8599E-687C-4321-9278-0C4ABCA5EF7D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B077F-552C-4113-B090-64DAF2412B8A}">
  <dimension ref="A1:D3"/>
  <sheetViews>
    <sheetView workbookViewId="0">
      <selection activeCell="C2" sqref="C2"/>
    </sheetView>
  </sheetViews>
  <sheetFormatPr defaultRowHeight="14.5" x14ac:dyDescent="0.35"/>
  <cols>
    <col min="1" max="1" width="9.90625" customWidth="1"/>
  </cols>
  <sheetData>
    <row r="1" spans="1:4" x14ac:dyDescent="0.35">
      <c r="A1" t="s">
        <v>304</v>
      </c>
      <c r="C1" t="s">
        <v>236</v>
      </c>
      <c r="D1" t="s">
        <v>238</v>
      </c>
    </row>
    <row r="2" spans="1:4" x14ac:dyDescent="0.35">
      <c r="A2" t="s">
        <v>236</v>
      </c>
      <c r="D2" t="s">
        <v>305</v>
      </c>
    </row>
    <row r="3" spans="1:4" x14ac:dyDescent="0.35">
      <c r="A3" t="s">
        <v>238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087DE-1D52-4E8C-90C1-72C1E5934155}">
  <sheetPr codeName="Sheet10"/>
  <dimension ref="A1:A7"/>
  <sheetViews>
    <sheetView workbookViewId="0">
      <selection sqref="A1:A7"/>
    </sheetView>
  </sheetViews>
  <sheetFormatPr defaultRowHeight="14.5" x14ac:dyDescent="0.35"/>
  <cols>
    <col min="1" max="1" width="11" customWidth="1"/>
  </cols>
  <sheetData>
    <row r="1" spans="1:1" x14ac:dyDescent="0.35">
      <c r="A1" s="1" t="s">
        <v>150</v>
      </c>
    </row>
    <row r="2" spans="1:1" x14ac:dyDescent="0.35">
      <c r="A2" s="1" t="s">
        <v>297</v>
      </c>
    </row>
    <row r="3" spans="1:1" x14ac:dyDescent="0.35">
      <c r="A3" s="1" t="s">
        <v>298</v>
      </c>
    </row>
    <row r="4" spans="1:1" x14ac:dyDescent="0.35">
      <c r="A4" s="1" t="s">
        <v>299</v>
      </c>
    </row>
    <row r="5" spans="1:1" x14ac:dyDescent="0.35">
      <c r="A5" s="1" t="s">
        <v>300</v>
      </c>
    </row>
    <row r="6" spans="1:1" x14ac:dyDescent="0.35">
      <c r="A6" s="1" t="s">
        <v>301</v>
      </c>
    </row>
    <row r="7" spans="1:1" x14ac:dyDescent="0.35">
      <c r="A7" s="1" t="s">
        <v>302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5A3D4-E31C-4F25-8900-2437A4ABD8E7}">
  <sheetPr codeName="Sheet11"/>
  <dimension ref="A1:A4"/>
  <sheetViews>
    <sheetView workbookViewId="0">
      <selection activeCell="B6" sqref="B6"/>
    </sheetView>
  </sheetViews>
  <sheetFormatPr defaultRowHeight="14.5" x14ac:dyDescent="0.35"/>
  <cols>
    <col min="1" max="1" width="16.54296875" customWidth="1"/>
  </cols>
  <sheetData>
    <row r="1" spans="1:1" x14ac:dyDescent="0.35">
      <c r="A1" s="1" t="s">
        <v>291</v>
      </c>
    </row>
    <row r="2" spans="1:1" x14ac:dyDescent="0.35">
      <c r="A2" s="1" t="s">
        <v>294</v>
      </c>
    </row>
    <row r="3" spans="1:1" x14ac:dyDescent="0.35">
      <c r="A3" s="1" t="s">
        <v>292</v>
      </c>
    </row>
    <row r="4" spans="1:1" x14ac:dyDescent="0.35">
      <c r="A4" s="1" t="s">
        <v>293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7BBA-3269-4752-880F-522041D853FD}">
  <sheetPr codeName="Sheet4"/>
  <dimension ref="A1:A2"/>
  <sheetViews>
    <sheetView workbookViewId="0">
      <selection activeCell="A2" sqref="A2"/>
    </sheetView>
  </sheetViews>
  <sheetFormatPr defaultRowHeight="14.5" x14ac:dyDescent="0.35"/>
  <cols>
    <col min="1" max="1" width="15.54296875" customWidth="1"/>
  </cols>
  <sheetData>
    <row r="1" spans="1:1" x14ac:dyDescent="0.35">
      <c r="A1" t="s">
        <v>0</v>
      </c>
    </row>
    <row r="2" spans="1:1" x14ac:dyDescent="0.35">
      <c r="A2" t="s">
        <v>31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0321-DD0D-457C-9C14-9E6661D26CC4}">
  <sheetPr codeName="Sheet5"/>
  <dimension ref="A1:A2"/>
  <sheetViews>
    <sheetView workbookViewId="0">
      <selection activeCell="A2" sqref="A2"/>
    </sheetView>
  </sheetViews>
  <sheetFormatPr defaultRowHeight="14.5" x14ac:dyDescent="0.35"/>
  <cols>
    <col min="1" max="1" width="23.54296875" customWidth="1"/>
  </cols>
  <sheetData>
    <row r="1" spans="1:1" x14ac:dyDescent="0.35">
      <c r="A1" t="s">
        <v>142</v>
      </c>
    </row>
    <row r="2" spans="1:1" x14ac:dyDescent="0.35">
      <c r="A2" t="s">
        <v>143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25DB-C847-4427-B033-F53F7D72C966}">
  <sheetPr codeName="Sheet6"/>
  <dimension ref="A1:J39"/>
  <sheetViews>
    <sheetView zoomScale="60" zoomScaleNormal="60" workbookViewId="0">
      <selection activeCell="A37" sqref="A37:XFD39"/>
    </sheetView>
  </sheetViews>
  <sheetFormatPr defaultRowHeight="14.5" x14ac:dyDescent="0.35"/>
  <cols>
    <col min="1" max="10" width="22.26953125" customWidth="1"/>
  </cols>
  <sheetData>
    <row r="1" spans="1:10" x14ac:dyDescent="0.3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21</v>
      </c>
      <c r="G1" t="s">
        <v>22</v>
      </c>
      <c r="H1" t="s">
        <v>23</v>
      </c>
      <c r="I1" t="s">
        <v>24</v>
      </c>
      <c r="J1" t="s">
        <v>0</v>
      </c>
    </row>
    <row r="2" spans="1:10" s="2" customFormat="1" x14ac:dyDescent="0.35">
      <c r="A2" s="2" t="s">
        <v>25</v>
      </c>
      <c r="B2" s="2">
        <v>50</v>
      </c>
      <c r="C2" s="2" t="s">
        <v>26</v>
      </c>
      <c r="D2" s="2" t="s">
        <v>27</v>
      </c>
      <c r="E2" s="2" t="s">
        <v>28</v>
      </c>
      <c r="F2" s="2" t="s">
        <v>29</v>
      </c>
      <c r="G2" s="2">
        <v>515176</v>
      </c>
      <c r="H2" s="2" t="s">
        <v>30</v>
      </c>
      <c r="I2" s="2">
        <v>0</v>
      </c>
      <c r="J2" s="2" t="s">
        <v>31</v>
      </c>
    </row>
    <row r="3" spans="1:10" s="2" customFormat="1" x14ac:dyDescent="0.35">
      <c r="A3" s="2" t="s">
        <v>32</v>
      </c>
      <c r="B3" s="2">
        <v>50</v>
      </c>
      <c r="C3" s="2" t="s">
        <v>26</v>
      </c>
      <c r="D3" s="2" t="s">
        <v>33</v>
      </c>
      <c r="E3" s="2" t="s">
        <v>34</v>
      </c>
      <c r="F3" s="2" t="s">
        <v>29</v>
      </c>
      <c r="G3" s="2">
        <v>515011</v>
      </c>
      <c r="H3" s="2" t="s">
        <v>30</v>
      </c>
      <c r="I3" s="2">
        <v>10</v>
      </c>
      <c r="J3" s="2" t="s">
        <v>31</v>
      </c>
    </row>
    <row r="4" spans="1:10" s="2" customFormat="1" x14ac:dyDescent="0.35">
      <c r="A4" s="2" t="s">
        <v>35</v>
      </c>
      <c r="B4" s="2">
        <v>50</v>
      </c>
      <c r="C4" s="2" t="s">
        <v>26</v>
      </c>
      <c r="D4" s="2" t="s">
        <v>36</v>
      </c>
      <c r="E4" s="2" t="s">
        <v>37</v>
      </c>
      <c r="F4" s="2" t="s">
        <v>29</v>
      </c>
      <c r="G4" s="2">
        <v>515011</v>
      </c>
      <c r="H4" s="2" t="s">
        <v>30</v>
      </c>
      <c r="I4" s="2">
        <v>10</v>
      </c>
      <c r="J4" s="2" t="s">
        <v>31</v>
      </c>
    </row>
    <row r="5" spans="1:10" s="2" customFormat="1" x14ac:dyDescent="0.35">
      <c r="A5" s="2" t="s">
        <v>38</v>
      </c>
      <c r="B5" s="2">
        <v>50</v>
      </c>
      <c r="C5" s="2" t="s">
        <v>26</v>
      </c>
      <c r="D5" s="2" t="s">
        <v>39</v>
      </c>
      <c r="E5" s="2" t="s">
        <v>40</v>
      </c>
      <c r="F5" s="2" t="s">
        <v>41</v>
      </c>
      <c r="G5" s="2">
        <v>515011</v>
      </c>
      <c r="H5" s="2" t="s">
        <v>30</v>
      </c>
      <c r="I5" s="2">
        <v>15</v>
      </c>
      <c r="J5" s="2" t="s">
        <v>31</v>
      </c>
    </row>
    <row r="6" spans="1:10" s="2" customFormat="1" x14ac:dyDescent="0.35">
      <c r="A6" s="2" t="s">
        <v>42</v>
      </c>
      <c r="B6" s="2">
        <v>50</v>
      </c>
      <c r="C6" s="2" t="s">
        <v>26</v>
      </c>
      <c r="D6" s="2" t="s">
        <v>43</v>
      </c>
      <c r="E6" s="2" t="s">
        <v>44</v>
      </c>
      <c r="F6" s="2" t="s">
        <v>41</v>
      </c>
      <c r="G6" s="2">
        <v>515011</v>
      </c>
      <c r="H6" s="2" t="s">
        <v>30</v>
      </c>
      <c r="I6" s="2">
        <v>16</v>
      </c>
      <c r="J6" s="2" t="s">
        <v>31</v>
      </c>
    </row>
    <row r="7" spans="1:10" s="2" customFormat="1" x14ac:dyDescent="0.35">
      <c r="A7" s="2" t="s">
        <v>45</v>
      </c>
      <c r="B7" s="2">
        <v>50</v>
      </c>
      <c r="C7" s="2" t="s">
        <v>26</v>
      </c>
      <c r="D7" s="2" t="s">
        <v>46</v>
      </c>
      <c r="E7" s="2" t="s">
        <v>47</v>
      </c>
      <c r="F7" s="2" t="s">
        <v>48</v>
      </c>
      <c r="G7" s="2">
        <v>515011</v>
      </c>
      <c r="H7" s="2" t="s">
        <v>30</v>
      </c>
      <c r="I7" s="2">
        <v>11</v>
      </c>
      <c r="J7" s="2" t="s">
        <v>31</v>
      </c>
    </row>
    <row r="8" spans="1:10" s="2" customFormat="1" x14ac:dyDescent="0.35">
      <c r="A8" s="2" t="s">
        <v>49</v>
      </c>
      <c r="B8" s="2">
        <v>50</v>
      </c>
      <c r="C8" s="2" t="s">
        <v>26</v>
      </c>
      <c r="D8" s="2" t="s">
        <v>50</v>
      </c>
      <c r="E8" s="2" t="s">
        <v>51</v>
      </c>
      <c r="F8" s="2" t="s">
        <v>29</v>
      </c>
      <c r="G8" s="2">
        <v>515011</v>
      </c>
      <c r="H8" s="2" t="s">
        <v>30</v>
      </c>
      <c r="I8" s="2">
        <v>3</v>
      </c>
      <c r="J8" s="2" t="s">
        <v>31</v>
      </c>
    </row>
    <row r="9" spans="1:10" s="2" customFormat="1" x14ac:dyDescent="0.35">
      <c r="A9" s="2" t="s">
        <v>52</v>
      </c>
      <c r="B9" s="2">
        <v>50</v>
      </c>
      <c r="C9" s="2" t="s">
        <v>26</v>
      </c>
      <c r="D9" s="2" t="s">
        <v>53</v>
      </c>
      <c r="E9" s="2" t="s">
        <v>54</v>
      </c>
      <c r="F9" s="2" t="s">
        <v>29</v>
      </c>
      <c r="G9" s="2">
        <v>515011</v>
      </c>
      <c r="H9" s="2" t="s">
        <v>30</v>
      </c>
      <c r="I9" s="2">
        <v>2</v>
      </c>
      <c r="J9" s="2" t="s">
        <v>31</v>
      </c>
    </row>
    <row r="10" spans="1:10" s="2" customFormat="1" x14ac:dyDescent="0.35">
      <c r="A10" s="2" t="s">
        <v>55</v>
      </c>
      <c r="B10" s="2">
        <v>50</v>
      </c>
      <c r="C10" s="2" t="s">
        <v>26</v>
      </c>
      <c r="D10" s="2" t="s">
        <v>56</v>
      </c>
      <c r="E10" s="2" t="s">
        <v>57</v>
      </c>
      <c r="F10" s="2" t="s">
        <v>29</v>
      </c>
      <c r="G10" s="2">
        <v>515011</v>
      </c>
      <c r="H10" s="2" t="s">
        <v>30</v>
      </c>
      <c r="I10" s="2">
        <v>4</v>
      </c>
      <c r="J10" s="2" t="s">
        <v>31</v>
      </c>
    </row>
    <row r="11" spans="1:10" s="2" customFormat="1" x14ac:dyDescent="0.35">
      <c r="A11" s="2" t="s">
        <v>58</v>
      </c>
      <c r="B11" s="2">
        <v>50</v>
      </c>
      <c r="C11" s="2" t="s">
        <v>26</v>
      </c>
      <c r="D11" s="2" t="s">
        <v>59</v>
      </c>
      <c r="E11" s="2" t="s">
        <v>60</v>
      </c>
      <c r="F11" s="2" t="s">
        <v>41</v>
      </c>
      <c r="G11" s="2">
        <v>515011</v>
      </c>
      <c r="H11" s="2" t="s">
        <v>30</v>
      </c>
      <c r="I11" s="2">
        <v>6</v>
      </c>
      <c r="J11" s="2" t="s">
        <v>31</v>
      </c>
    </row>
    <row r="12" spans="1:10" s="2" customFormat="1" x14ac:dyDescent="0.35">
      <c r="A12" s="2" t="s">
        <v>61</v>
      </c>
      <c r="B12" s="2">
        <v>50</v>
      </c>
      <c r="C12" s="2" t="s">
        <v>26</v>
      </c>
      <c r="D12" s="2" t="s">
        <v>62</v>
      </c>
      <c r="E12" s="2" t="s">
        <v>63</v>
      </c>
      <c r="F12" s="2" t="s">
        <v>41</v>
      </c>
      <c r="G12" s="2">
        <v>515011</v>
      </c>
      <c r="H12" s="2" t="s">
        <v>30</v>
      </c>
      <c r="I12" s="2">
        <v>5</v>
      </c>
      <c r="J12" s="2" t="s">
        <v>31</v>
      </c>
    </row>
    <row r="13" spans="1:10" s="2" customFormat="1" x14ac:dyDescent="0.35">
      <c r="A13" s="2" t="s">
        <v>64</v>
      </c>
      <c r="B13" s="2">
        <v>50</v>
      </c>
      <c r="C13" s="2" t="s">
        <v>26</v>
      </c>
      <c r="D13" s="2" t="s">
        <v>65</v>
      </c>
      <c r="E13" s="2" t="s">
        <v>66</v>
      </c>
      <c r="F13" s="2" t="s">
        <v>41</v>
      </c>
      <c r="G13" s="2">
        <v>515011</v>
      </c>
      <c r="H13" s="2" t="s">
        <v>30</v>
      </c>
      <c r="I13" s="2">
        <v>5</v>
      </c>
      <c r="J13" s="2" t="s">
        <v>31</v>
      </c>
    </row>
    <row r="14" spans="1:10" x14ac:dyDescent="0.35">
      <c r="A14" t="s">
        <v>67</v>
      </c>
      <c r="B14">
        <v>50</v>
      </c>
      <c r="C14" t="s">
        <v>26</v>
      </c>
      <c r="D14" t="s">
        <v>68</v>
      </c>
      <c r="F14" t="s">
        <v>29</v>
      </c>
      <c r="G14">
        <v>515011</v>
      </c>
      <c r="H14" t="s">
        <v>30</v>
      </c>
      <c r="I14">
        <v>3</v>
      </c>
      <c r="J14" t="s">
        <v>31</v>
      </c>
    </row>
    <row r="15" spans="1:10" s="2" customFormat="1" x14ac:dyDescent="0.35">
      <c r="A15" s="2" t="s">
        <v>69</v>
      </c>
      <c r="B15" s="2">
        <v>50</v>
      </c>
      <c r="C15" s="2" t="s">
        <v>26</v>
      </c>
      <c r="D15" s="2" t="s">
        <v>70</v>
      </c>
      <c r="E15" s="2" t="s">
        <v>60</v>
      </c>
      <c r="F15" s="2" t="s">
        <v>41</v>
      </c>
      <c r="G15" s="2">
        <v>515011</v>
      </c>
      <c r="H15" s="2" t="s">
        <v>30</v>
      </c>
      <c r="I15" s="2">
        <v>4</v>
      </c>
      <c r="J15" s="2" t="s">
        <v>31</v>
      </c>
    </row>
    <row r="16" spans="1:10" s="2" customFormat="1" x14ac:dyDescent="0.35">
      <c r="A16" s="2" t="s">
        <v>71</v>
      </c>
      <c r="B16" s="2">
        <v>50</v>
      </c>
      <c r="C16" s="2" t="s">
        <v>26</v>
      </c>
      <c r="D16" s="2" t="s">
        <v>72</v>
      </c>
      <c r="E16" s="2" t="s">
        <v>73</v>
      </c>
      <c r="F16" s="2" t="s">
        <v>48</v>
      </c>
      <c r="G16" s="2">
        <v>515011</v>
      </c>
      <c r="H16" s="2" t="s">
        <v>30</v>
      </c>
      <c r="I16" s="2">
        <v>4</v>
      </c>
      <c r="J16" s="2" t="s">
        <v>31</v>
      </c>
    </row>
    <row r="17" spans="1:10" s="2" customFormat="1" x14ac:dyDescent="0.35">
      <c r="A17" s="2" t="s">
        <v>74</v>
      </c>
      <c r="B17" s="2">
        <v>50</v>
      </c>
      <c r="C17" s="2" t="s">
        <v>26</v>
      </c>
      <c r="D17" s="2" t="s">
        <v>75</v>
      </c>
      <c r="E17" s="2" t="s">
        <v>76</v>
      </c>
      <c r="F17" s="2" t="s">
        <v>48</v>
      </c>
      <c r="G17" s="2">
        <v>515011</v>
      </c>
      <c r="H17" s="2" t="s">
        <v>30</v>
      </c>
      <c r="I17" s="2">
        <v>4</v>
      </c>
      <c r="J17" s="2" t="s">
        <v>31</v>
      </c>
    </row>
    <row r="18" spans="1:10" s="2" customFormat="1" x14ac:dyDescent="0.35">
      <c r="A18" s="2" t="s">
        <v>77</v>
      </c>
      <c r="B18" s="2">
        <v>50</v>
      </c>
      <c r="C18" s="2" t="s">
        <v>26</v>
      </c>
      <c r="D18" s="2" t="s">
        <v>78</v>
      </c>
      <c r="E18" s="2" t="s">
        <v>79</v>
      </c>
      <c r="F18" s="2" t="s">
        <v>48</v>
      </c>
      <c r="G18" s="2">
        <v>515011</v>
      </c>
      <c r="H18" s="2" t="s">
        <v>30</v>
      </c>
      <c r="I18" s="2">
        <v>4</v>
      </c>
      <c r="J18" s="2" t="s">
        <v>31</v>
      </c>
    </row>
    <row r="19" spans="1:10" s="2" customFormat="1" x14ac:dyDescent="0.35">
      <c r="A19" s="2" t="s">
        <v>80</v>
      </c>
      <c r="B19" s="2">
        <v>50</v>
      </c>
      <c r="C19" s="2" t="s">
        <v>26</v>
      </c>
      <c r="D19" s="2" t="s">
        <v>81</v>
      </c>
      <c r="E19" s="2" t="s">
        <v>82</v>
      </c>
      <c r="F19" s="2" t="s">
        <v>29</v>
      </c>
      <c r="G19" s="2">
        <v>515011</v>
      </c>
      <c r="H19" s="2" t="s">
        <v>30</v>
      </c>
      <c r="I19" s="2">
        <v>6</v>
      </c>
      <c r="J19" s="2" t="s">
        <v>31</v>
      </c>
    </row>
    <row r="20" spans="1:10" s="2" customFormat="1" x14ac:dyDescent="0.35">
      <c r="A20" s="2" t="s">
        <v>83</v>
      </c>
      <c r="B20" s="2">
        <v>50</v>
      </c>
      <c r="C20" s="2" t="s">
        <v>26</v>
      </c>
      <c r="D20" s="2" t="s">
        <v>84</v>
      </c>
      <c r="E20" s="2" t="s">
        <v>85</v>
      </c>
      <c r="F20" s="2" t="s">
        <v>29</v>
      </c>
      <c r="G20" s="2">
        <v>515011</v>
      </c>
      <c r="H20" s="2" t="s">
        <v>30</v>
      </c>
      <c r="I20" s="2">
        <v>4</v>
      </c>
      <c r="J20" s="2" t="s">
        <v>31</v>
      </c>
    </row>
    <row r="21" spans="1:10" s="2" customFormat="1" x14ac:dyDescent="0.35">
      <c r="A21" s="2" t="s">
        <v>86</v>
      </c>
      <c r="B21" s="2">
        <v>50</v>
      </c>
      <c r="C21" s="2" t="s">
        <v>26</v>
      </c>
      <c r="D21" s="2" t="s">
        <v>87</v>
      </c>
      <c r="E21" s="2" t="s">
        <v>88</v>
      </c>
      <c r="F21" s="2" t="s">
        <v>29</v>
      </c>
      <c r="G21" s="2">
        <v>515011</v>
      </c>
      <c r="H21" s="2" t="s">
        <v>30</v>
      </c>
      <c r="I21" s="2">
        <v>5</v>
      </c>
      <c r="J21" s="2" t="s">
        <v>31</v>
      </c>
    </row>
    <row r="22" spans="1:10" s="2" customFormat="1" x14ac:dyDescent="0.35">
      <c r="A22" s="2" t="s">
        <v>89</v>
      </c>
      <c r="B22" s="2">
        <v>50</v>
      </c>
      <c r="C22" s="2" t="s">
        <v>26</v>
      </c>
      <c r="D22" s="2" t="s">
        <v>90</v>
      </c>
      <c r="E22" s="2" t="s">
        <v>91</v>
      </c>
      <c r="F22" s="2" t="s">
        <v>41</v>
      </c>
      <c r="G22" s="2">
        <v>515011</v>
      </c>
      <c r="H22" s="2" t="s">
        <v>30</v>
      </c>
      <c r="I22" s="2">
        <v>5</v>
      </c>
      <c r="J22" s="2" t="s">
        <v>31</v>
      </c>
    </row>
    <row r="23" spans="1:10" s="2" customFormat="1" x14ac:dyDescent="0.35">
      <c r="A23" s="2" t="s">
        <v>92</v>
      </c>
      <c r="B23" s="2">
        <v>50</v>
      </c>
      <c r="C23" s="2" t="s">
        <v>26</v>
      </c>
      <c r="D23" s="2" t="s">
        <v>93</v>
      </c>
      <c r="E23" s="2" t="s">
        <v>94</v>
      </c>
      <c r="F23" s="2" t="s">
        <v>29</v>
      </c>
      <c r="G23" s="2">
        <v>515011</v>
      </c>
      <c r="H23" s="2" t="s">
        <v>30</v>
      </c>
      <c r="I23" s="2">
        <v>5</v>
      </c>
      <c r="J23" s="2" t="s">
        <v>31</v>
      </c>
    </row>
    <row r="24" spans="1:10" s="2" customFormat="1" x14ac:dyDescent="0.35">
      <c r="A24" s="2" t="s">
        <v>95</v>
      </c>
      <c r="B24" s="2">
        <v>50</v>
      </c>
      <c r="C24" s="2" t="s">
        <v>26</v>
      </c>
      <c r="D24" s="2" t="s">
        <v>96</v>
      </c>
      <c r="E24" s="2" t="s">
        <v>97</v>
      </c>
      <c r="F24" s="2" t="s">
        <v>48</v>
      </c>
      <c r="G24" s="2">
        <v>515011</v>
      </c>
      <c r="H24" s="2" t="s">
        <v>30</v>
      </c>
      <c r="I24" s="2">
        <v>3</v>
      </c>
      <c r="J24" s="2" t="s">
        <v>31</v>
      </c>
    </row>
    <row r="25" spans="1:10" s="2" customFormat="1" x14ac:dyDescent="0.35">
      <c r="A25" s="2" t="s">
        <v>98</v>
      </c>
      <c r="B25" s="2">
        <v>50</v>
      </c>
      <c r="C25" s="2" t="s">
        <v>26</v>
      </c>
      <c r="D25" s="2" t="s">
        <v>99</v>
      </c>
      <c r="E25" s="2" t="s">
        <v>100</v>
      </c>
      <c r="F25" s="2" t="s">
        <v>48</v>
      </c>
      <c r="G25" s="2">
        <v>515011</v>
      </c>
      <c r="H25" s="2" t="s">
        <v>30</v>
      </c>
      <c r="I25" s="2">
        <v>5</v>
      </c>
      <c r="J25" s="2" t="s">
        <v>31</v>
      </c>
    </row>
    <row r="26" spans="1:10" s="2" customFormat="1" x14ac:dyDescent="0.35">
      <c r="A26" s="2" t="s">
        <v>101</v>
      </c>
      <c r="B26" s="2">
        <v>50</v>
      </c>
      <c r="C26" s="2" t="s">
        <v>26</v>
      </c>
      <c r="D26" s="2" t="s">
        <v>102</v>
      </c>
      <c r="E26" s="2" t="s">
        <v>103</v>
      </c>
      <c r="F26" s="2" t="s">
        <v>41</v>
      </c>
      <c r="G26" s="2">
        <v>515011</v>
      </c>
      <c r="H26" s="2" t="s">
        <v>30</v>
      </c>
      <c r="I26" s="2">
        <v>5</v>
      </c>
      <c r="J26" s="2" t="s">
        <v>31</v>
      </c>
    </row>
    <row r="27" spans="1:10" s="2" customFormat="1" x14ac:dyDescent="0.35">
      <c r="A27" s="2" t="s">
        <v>104</v>
      </c>
      <c r="B27" s="2">
        <v>50</v>
      </c>
      <c r="C27" s="2" t="s">
        <v>26</v>
      </c>
      <c r="D27" s="2" t="s">
        <v>105</v>
      </c>
      <c r="E27" s="2" t="s">
        <v>106</v>
      </c>
      <c r="F27" s="2" t="s">
        <v>29</v>
      </c>
      <c r="G27" s="2">
        <v>515014</v>
      </c>
      <c r="H27" s="2" t="s">
        <v>30</v>
      </c>
      <c r="I27" s="2">
        <v>0</v>
      </c>
      <c r="J27" s="2" t="s">
        <v>31</v>
      </c>
    </row>
    <row r="28" spans="1:10" s="2" customFormat="1" x14ac:dyDescent="0.35">
      <c r="A28" s="2" t="s">
        <v>107</v>
      </c>
      <c r="B28" s="2">
        <v>50</v>
      </c>
      <c r="C28" s="2" t="s">
        <v>26</v>
      </c>
      <c r="D28" s="2" t="s">
        <v>108</v>
      </c>
      <c r="E28" s="2" t="s">
        <v>109</v>
      </c>
      <c r="G28" s="2">
        <v>515102</v>
      </c>
      <c r="H28" s="2" t="s">
        <v>30</v>
      </c>
      <c r="I28" s="2">
        <v>0</v>
      </c>
      <c r="J28" s="2" t="s">
        <v>31</v>
      </c>
    </row>
    <row r="29" spans="1:10" s="2" customFormat="1" x14ac:dyDescent="0.35">
      <c r="A29" s="2" t="s">
        <v>110</v>
      </c>
      <c r="B29" s="2">
        <v>50</v>
      </c>
      <c r="C29" s="2" t="s">
        <v>26</v>
      </c>
      <c r="D29" s="2" t="s">
        <v>111</v>
      </c>
      <c r="E29" s="2" t="s">
        <v>112</v>
      </c>
      <c r="G29" s="2">
        <v>515102</v>
      </c>
      <c r="H29" s="2" t="s">
        <v>30</v>
      </c>
      <c r="I29" s="2">
        <v>0</v>
      </c>
      <c r="J29" s="2" t="s">
        <v>31</v>
      </c>
    </row>
    <row r="30" spans="1:10" s="2" customFormat="1" x14ac:dyDescent="0.35">
      <c r="A30" s="2" t="s">
        <v>113</v>
      </c>
      <c r="B30" s="2">
        <v>50</v>
      </c>
      <c r="C30" s="2" t="s">
        <v>26</v>
      </c>
      <c r="D30" s="2" t="s">
        <v>114</v>
      </c>
      <c r="E30" s="2" t="s">
        <v>115</v>
      </c>
      <c r="G30" s="2">
        <v>515102</v>
      </c>
      <c r="H30" s="2" t="s">
        <v>30</v>
      </c>
      <c r="I30" s="2">
        <v>0</v>
      </c>
      <c r="J30" s="2" t="s">
        <v>31</v>
      </c>
    </row>
    <row r="31" spans="1:10" s="2" customFormat="1" x14ac:dyDescent="0.35">
      <c r="A31" s="2" t="s">
        <v>116</v>
      </c>
      <c r="B31" s="2">
        <v>50</v>
      </c>
      <c r="C31" s="2" t="s">
        <v>26</v>
      </c>
      <c r="D31" s="2" t="s">
        <v>117</v>
      </c>
      <c r="E31" s="2" t="s">
        <v>118</v>
      </c>
      <c r="G31" s="2">
        <v>515102</v>
      </c>
      <c r="H31" s="2" t="s">
        <v>30</v>
      </c>
      <c r="I31" s="2">
        <v>0</v>
      </c>
      <c r="J31" s="2" t="s">
        <v>31</v>
      </c>
    </row>
    <row r="32" spans="1:10" s="2" customFormat="1" x14ac:dyDescent="0.35">
      <c r="A32" s="2" t="s">
        <v>119</v>
      </c>
      <c r="B32" s="2">
        <v>50</v>
      </c>
      <c r="C32" s="2" t="s">
        <v>26</v>
      </c>
      <c r="D32" s="2" t="s">
        <v>120</v>
      </c>
      <c r="E32" s="2" t="s">
        <v>121</v>
      </c>
      <c r="G32" s="2">
        <v>515102</v>
      </c>
      <c r="H32" s="2" t="s">
        <v>30</v>
      </c>
      <c r="I32" s="2">
        <v>0</v>
      </c>
      <c r="J32" s="2" t="s">
        <v>31</v>
      </c>
    </row>
    <row r="33" spans="1:10" s="2" customFormat="1" x14ac:dyDescent="0.35">
      <c r="A33" s="2" t="s">
        <v>122</v>
      </c>
      <c r="B33" s="2">
        <v>50</v>
      </c>
      <c r="C33" s="2" t="s">
        <v>26</v>
      </c>
      <c r="D33" s="2" t="s">
        <v>123</v>
      </c>
      <c r="E33" s="2" t="s">
        <v>124</v>
      </c>
      <c r="G33" s="2">
        <v>515102</v>
      </c>
      <c r="H33" s="2" t="s">
        <v>30</v>
      </c>
      <c r="I33" s="2">
        <v>0</v>
      </c>
      <c r="J33" s="2" t="s">
        <v>31</v>
      </c>
    </row>
    <row r="34" spans="1:10" s="2" customFormat="1" x14ac:dyDescent="0.35">
      <c r="A34" s="2" t="s">
        <v>125</v>
      </c>
      <c r="B34" s="2">
        <v>50</v>
      </c>
      <c r="C34" s="2" t="s">
        <v>26</v>
      </c>
      <c r="D34" s="2" t="s">
        <v>126</v>
      </c>
      <c r="E34" s="2" t="s">
        <v>127</v>
      </c>
      <c r="G34" s="2">
        <v>515102</v>
      </c>
      <c r="H34" s="2" t="s">
        <v>30</v>
      </c>
      <c r="I34" s="2">
        <v>0</v>
      </c>
      <c r="J34" s="2" t="s">
        <v>31</v>
      </c>
    </row>
    <row r="35" spans="1:10" s="2" customFormat="1" x14ac:dyDescent="0.35">
      <c r="A35" s="2" t="s">
        <v>128</v>
      </c>
      <c r="B35" s="2">
        <v>50</v>
      </c>
      <c r="C35" s="2" t="s">
        <v>26</v>
      </c>
      <c r="D35" s="2" t="s">
        <v>129</v>
      </c>
      <c r="E35" s="2" t="s">
        <v>130</v>
      </c>
      <c r="G35" s="2">
        <v>515102</v>
      </c>
      <c r="H35" s="2" t="s">
        <v>30</v>
      </c>
      <c r="I35" s="2">
        <v>0</v>
      </c>
      <c r="J35" s="2" t="s">
        <v>31</v>
      </c>
    </row>
    <row r="36" spans="1:10" s="2" customFormat="1" x14ac:dyDescent="0.35">
      <c r="A36" s="2" t="s">
        <v>131</v>
      </c>
      <c r="B36" s="2">
        <v>50</v>
      </c>
      <c r="C36" s="2" t="s">
        <v>26</v>
      </c>
      <c r="D36" s="2" t="s">
        <v>132</v>
      </c>
      <c r="E36" s="2" t="s">
        <v>133</v>
      </c>
      <c r="G36" s="2">
        <v>515102</v>
      </c>
      <c r="H36" s="2" t="s">
        <v>30</v>
      </c>
      <c r="I36" s="2">
        <v>0</v>
      </c>
      <c r="J36" s="2" t="s">
        <v>31</v>
      </c>
    </row>
    <row r="37" spans="1:10" s="2" customFormat="1" x14ac:dyDescent="0.35">
      <c r="A37" s="2" t="s">
        <v>134</v>
      </c>
      <c r="B37" s="2">
        <v>50</v>
      </c>
      <c r="C37" s="2" t="s">
        <v>26</v>
      </c>
      <c r="D37" s="2" t="s">
        <v>135</v>
      </c>
      <c r="E37" s="2" t="s">
        <v>66</v>
      </c>
      <c r="G37" s="2">
        <v>515102</v>
      </c>
      <c r="H37" s="2" t="s">
        <v>30</v>
      </c>
      <c r="I37" s="2">
        <v>0</v>
      </c>
      <c r="J37" s="2" t="s">
        <v>31</v>
      </c>
    </row>
    <row r="38" spans="1:10" s="2" customFormat="1" x14ac:dyDescent="0.35">
      <c r="A38" s="2" t="s">
        <v>136</v>
      </c>
      <c r="B38" s="2">
        <v>50</v>
      </c>
      <c r="C38" s="2" t="s">
        <v>26</v>
      </c>
      <c r="D38" s="2" t="s">
        <v>137</v>
      </c>
      <c r="E38" s="2" t="s">
        <v>138</v>
      </c>
      <c r="G38" s="2">
        <v>515102</v>
      </c>
      <c r="H38" s="2" t="s">
        <v>30</v>
      </c>
      <c r="I38" s="2">
        <v>0</v>
      </c>
      <c r="J38" s="2" t="s">
        <v>31</v>
      </c>
    </row>
    <row r="39" spans="1:10" s="2" customFormat="1" x14ac:dyDescent="0.35">
      <c r="A39" s="2" t="s">
        <v>139</v>
      </c>
      <c r="B39" s="2">
        <v>50</v>
      </c>
      <c r="C39" s="2" t="s">
        <v>26</v>
      </c>
      <c r="D39" s="2" t="s">
        <v>140</v>
      </c>
      <c r="E39" s="2" t="s">
        <v>141</v>
      </c>
      <c r="G39" s="2">
        <v>515102</v>
      </c>
      <c r="H39" s="2" t="s">
        <v>30</v>
      </c>
      <c r="I39" s="2">
        <v>0</v>
      </c>
      <c r="J39" s="2" t="s">
        <v>31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E792B-6127-47F4-B4C8-7DB2CD5FCE3C}">
  <sheetPr codeName="Sheet2"/>
  <dimension ref="A1:J39"/>
  <sheetViews>
    <sheetView zoomScale="60" zoomScaleNormal="60" workbookViewId="0">
      <selection activeCell="M10" sqref="M10"/>
    </sheetView>
  </sheetViews>
  <sheetFormatPr defaultRowHeight="14.5" x14ac:dyDescent="0.35"/>
  <cols>
    <col min="1" max="10" width="22.26953125" customWidth="1"/>
  </cols>
  <sheetData>
    <row r="1" spans="1:10" x14ac:dyDescent="0.35">
      <c r="A1" t="s">
        <v>17</v>
      </c>
      <c r="B1" t="s">
        <v>18</v>
      </c>
      <c r="C1" t="s">
        <v>19</v>
      </c>
      <c r="D1" t="s">
        <v>20</v>
      </c>
      <c r="E1" t="s">
        <v>4</v>
      </c>
      <c r="F1" t="s">
        <v>21</v>
      </c>
      <c r="G1" t="s">
        <v>22</v>
      </c>
      <c r="H1" t="s">
        <v>23</v>
      </c>
      <c r="I1" t="s">
        <v>24</v>
      </c>
      <c r="J1" t="s">
        <v>0</v>
      </c>
    </row>
    <row r="2" spans="1:10" s="2" customFormat="1" x14ac:dyDescent="0.35">
      <c r="A2" s="2" t="s">
        <v>25</v>
      </c>
      <c r="B2" s="2">
        <v>50</v>
      </c>
      <c r="C2" s="2" t="s">
        <v>26</v>
      </c>
      <c r="D2" s="2" t="s">
        <v>27</v>
      </c>
      <c r="E2" s="2" t="s">
        <v>28</v>
      </c>
      <c r="F2" s="2" t="s">
        <v>29</v>
      </c>
      <c r="G2" s="2">
        <v>515176</v>
      </c>
      <c r="H2" s="2" t="s">
        <v>30</v>
      </c>
      <c r="I2" s="2">
        <v>0</v>
      </c>
      <c r="J2" s="2" t="s">
        <v>31</v>
      </c>
    </row>
    <row r="3" spans="1:10" s="2" customFormat="1" x14ac:dyDescent="0.35">
      <c r="A3" s="2" t="s">
        <v>32</v>
      </c>
      <c r="B3" s="2">
        <v>50</v>
      </c>
      <c r="C3" s="2" t="s">
        <v>26</v>
      </c>
      <c r="D3" s="2" t="s">
        <v>33</v>
      </c>
      <c r="E3" s="2" t="s">
        <v>34</v>
      </c>
      <c r="F3" s="2" t="s">
        <v>29</v>
      </c>
      <c r="G3" s="2">
        <v>515011</v>
      </c>
      <c r="H3" s="2" t="s">
        <v>30</v>
      </c>
      <c r="I3" s="2">
        <v>10</v>
      </c>
      <c r="J3" s="2" t="s">
        <v>31</v>
      </c>
    </row>
    <row r="4" spans="1:10" s="2" customFormat="1" x14ac:dyDescent="0.35">
      <c r="A4" s="2" t="s">
        <v>35</v>
      </c>
      <c r="B4" s="2">
        <v>50</v>
      </c>
      <c r="C4" s="2" t="s">
        <v>26</v>
      </c>
      <c r="D4" s="2" t="s">
        <v>36</v>
      </c>
      <c r="E4" s="2" t="s">
        <v>37</v>
      </c>
      <c r="F4" s="2" t="s">
        <v>29</v>
      </c>
      <c r="G4" s="2">
        <v>515011</v>
      </c>
      <c r="H4" s="2" t="s">
        <v>30</v>
      </c>
      <c r="I4" s="2">
        <v>10</v>
      </c>
      <c r="J4" s="2" t="s">
        <v>31</v>
      </c>
    </row>
    <row r="5" spans="1:10" s="2" customFormat="1" x14ac:dyDescent="0.35">
      <c r="A5" s="2" t="s">
        <v>38</v>
      </c>
      <c r="B5" s="2">
        <v>50</v>
      </c>
      <c r="C5" s="2" t="s">
        <v>26</v>
      </c>
      <c r="D5" s="2" t="s">
        <v>39</v>
      </c>
      <c r="E5" s="2" t="s">
        <v>40</v>
      </c>
      <c r="F5" s="2" t="s">
        <v>41</v>
      </c>
      <c r="G5" s="2">
        <v>515011</v>
      </c>
      <c r="H5" s="2" t="s">
        <v>30</v>
      </c>
      <c r="I5" s="2">
        <v>15</v>
      </c>
      <c r="J5" s="2" t="s">
        <v>31</v>
      </c>
    </row>
    <row r="6" spans="1:10" s="2" customFormat="1" x14ac:dyDescent="0.35">
      <c r="A6" s="2" t="s">
        <v>42</v>
      </c>
      <c r="B6" s="2">
        <v>50</v>
      </c>
      <c r="C6" s="2" t="s">
        <v>26</v>
      </c>
      <c r="D6" s="2" t="s">
        <v>43</v>
      </c>
      <c r="E6" s="2" t="s">
        <v>44</v>
      </c>
      <c r="F6" s="2" t="s">
        <v>41</v>
      </c>
      <c r="G6" s="2">
        <v>515011</v>
      </c>
      <c r="H6" s="2" t="s">
        <v>30</v>
      </c>
      <c r="I6" s="2">
        <v>16</v>
      </c>
      <c r="J6" s="2" t="s">
        <v>31</v>
      </c>
    </row>
    <row r="7" spans="1:10" s="2" customFormat="1" x14ac:dyDescent="0.35">
      <c r="A7" s="2" t="s">
        <v>45</v>
      </c>
      <c r="B7" s="2">
        <v>50</v>
      </c>
      <c r="C7" s="2" t="s">
        <v>26</v>
      </c>
      <c r="D7" s="2" t="s">
        <v>46</v>
      </c>
      <c r="E7" s="2" t="s">
        <v>47</v>
      </c>
      <c r="F7" s="2" t="s">
        <v>48</v>
      </c>
      <c r="G7" s="2">
        <v>515011</v>
      </c>
      <c r="H7" s="2" t="s">
        <v>30</v>
      </c>
      <c r="I7" s="2">
        <v>11</v>
      </c>
      <c r="J7" s="2" t="s">
        <v>31</v>
      </c>
    </row>
    <row r="8" spans="1:10" s="2" customFormat="1" x14ac:dyDescent="0.35">
      <c r="A8" s="2" t="s">
        <v>49</v>
      </c>
      <c r="B8" s="2">
        <v>50</v>
      </c>
      <c r="C8" s="2" t="s">
        <v>26</v>
      </c>
      <c r="D8" s="2" t="s">
        <v>50</v>
      </c>
      <c r="E8" s="2" t="s">
        <v>51</v>
      </c>
      <c r="F8" s="2" t="s">
        <v>29</v>
      </c>
      <c r="G8" s="2">
        <v>515011</v>
      </c>
      <c r="H8" s="2" t="s">
        <v>30</v>
      </c>
      <c r="I8" s="2">
        <v>3</v>
      </c>
      <c r="J8" s="2" t="s">
        <v>31</v>
      </c>
    </row>
    <row r="9" spans="1:10" s="2" customFormat="1" x14ac:dyDescent="0.35">
      <c r="A9" s="2" t="s">
        <v>52</v>
      </c>
      <c r="B9" s="2">
        <v>50</v>
      </c>
      <c r="C9" s="2" t="s">
        <v>26</v>
      </c>
      <c r="D9" s="2" t="s">
        <v>53</v>
      </c>
      <c r="E9" s="2" t="s">
        <v>54</v>
      </c>
      <c r="F9" s="2" t="s">
        <v>29</v>
      </c>
      <c r="G9" s="2">
        <v>515011</v>
      </c>
      <c r="H9" s="2" t="s">
        <v>30</v>
      </c>
      <c r="I9" s="2">
        <v>2</v>
      </c>
      <c r="J9" s="2" t="s">
        <v>31</v>
      </c>
    </row>
    <row r="10" spans="1:10" s="2" customFormat="1" x14ac:dyDescent="0.35">
      <c r="A10" s="2" t="s">
        <v>55</v>
      </c>
      <c r="B10" s="2">
        <v>50</v>
      </c>
      <c r="C10" s="2" t="s">
        <v>26</v>
      </c>
      <c r="D10" s="2" t="s">
        <v>56</v>
      </c>
      <c r="E10" s="2" t="s">
        <v>57</v>
      </c>
      <c r="F10" s="2" t="s">
        <v>29</v>
      </c>
      <c r="G10" s="2">
        <v>515011</v>
      </c>
      <c r="H10" s="2" t="s">
        <v>30</v>
      </c>
      <c r="I10" s="2">
        <v>4</v>
      </c>
      <c r="J10" s="2" t="s">
        <v>31</v>
      </c>
    </row>
    <row r="11" spans="1:10" s="2" customFormat="1" x14ac:dyDescent="0.35">
      <c r="A11" s="2" t="s">
        <v>58</v>
      </c>
      <c r="B11" s="2">
        <v>50</v>
      </c>
      <c r="C11" s="2" t="s">
        <v>26</v>
      </c>
      <c r="D11" s="2" t="s">
        <v>59</v>
      </c>
      <c r="E11" s="2" t="s">
        <v>60</v>
      </c>
      <c r="F11" s="2" t="s">
        <v>41</v>
      </c>
      <c r="G11" s="2">
        <v>515011</v>
      </c>
      <c r="H11" s="2" t="s">
        <v>30</v>
      </c>
      <c r="I11" s="2">
        <v>6</v>
      </c>
      <c r="J11" s="2" t="s">
        <v>31</v>
      </c>
    </row>
    <row r="12" spans="1:10" s="2" customFormat="1" x14ac:dyDescent="0.35">
      <c r="A12" s="2" t="s">
        <v>61</v>
      </c>
      <c r="B12" s="2">
        <v>50</v>
      </c>
      <c r="C12" s="2" t="s">
        <v>26</v>
      </c>
      <c r="D12" s="2" t="s">
        <v>62</v>
      </c>
      <c r="E12" s="2" t="s">
        <v>63</v>
      </c>
      <c r="F12" s="2" t="s">
        <v>41</v>
      </c>
      <c r="G12" s="2">
        <v>515011</v>
      </c>
      <c r="H12" s="2" t="s">
        <v>30</v>
      </c>
      <c r="I12" s="2">
        <v>5</v>
      </c>
      <c r="J12" s="2" t="s">
        <v>31</v>
      </c>
    </row>
    <row r="13" spans="1:10" s="2" customFormat="1" x14ac:dyDescent="0.35">
      <c r="A13" s="2" t="s">
        <v>64</v>
      </c>
      <c r="B13" s="2">
        <v>50</v>
      </c>
      <c r="C13" s="2" t="s">
        <v>26</v>
      </c>
      <c r="D13" s="2" t="s">
        <v>65</v>
      </c>
      <c r="E13" s="2" t="s">
        <v>66</v>
      </c>
      <c r="F13" s="2" t="s">
        <v>41</v>
      </c>
      <c r="G13" s="2">
        <v>515011</v>
      </c>
      <c r="H13" s="2" t="s">
        <v>30</v>
      </c>
      <c r="I13" s="2">
        <v>5</v>
      </c>
      <c r="J13" s="2" t="s">
        <v>31</v>
      </c>
    </row>
    <row r="14" spans="1:10" x14ac:dyDescent="0.35">
      <c r="A14" t="s">
        <v>67</v>
      </c>
      <c r="B14">
        <v>50</v>
      </c>
      <c r="C14" t="s">
        <v>26</v>
      </c>
      <c r="D14" t="s">
        <v>68</v>
      </c>
      <c r="F14" t="s">
        <v>29</v>
      </c>
      <c r="G14">
        <v>515011</v>
      </c>
      <c r="H14" t="s">
        <v>30</v>
      </c>
      <c r="I14">
        <v>3</v>
      </c>
      <c r="J14" t="s">
        <v>31</v>
      </c>
    </row>
    <row r="15" spans="1:10" s="2" customFormat="1" x14ac:dyDescent="0.35">
      <c r="A15" s="2" t="s">
        <v>69</v>
      </c>
      <c r="B15" s="2">
        <v>50</v>
      </c>
      <c r="C15" s="2" t="s">
        <v>26</v>
      </c>
      <c r="D15" s="2" t="s">
        <v>70</v>
      </c>
      <c r="E15" s="2" t="s">
        <v>60</v>
      </c>
      <c r="F15" s="2" t="s">
        <v>41</v>
      </c>
      <c r="G15" s="2">
        <v>515011</v>
      </c>
      <c r="H15" s="2" t="s">
        <v>30</v>
      </c>
      <c r="I15" s="2">
        <v>4</v>
      </c>
      <c r="J15" s="2" t="s">
        <v>31</v>
      </c>
    </row>
    <row r="16" spans="1:10" s="2" customFormat="1" x14ac:dyDescent="0.35">
      <c r="A16" s="2" t="s">
        <v>71</v>
      </c>
      <c r="B16" s="2">
        <v>50</v>
      </c>
      <c r="C16" s="2" t="s">
        <v>26</v>
      </c>
      <c r="D16" s="2" t="s">
        <v>72</v>
      </c>
      <c r="E16" s="2" t="s">
        <v>73</v>
      </c>
      <c r="F16" s="2" t="s">
        <v>48</v>
      </c>
      <c r="G16" s="2">
        <v>515011</v>
      </c>
      <c r="H16" s="2" t="s">
        <v>30</v>
      </c>
      <c r="I16" s="2">
        <v>4</v>
      </c>
      <c r="J16" s="2" t="s">
        <v>31</v>
      </c>
    </row>
    <row r="17" spans="1:10" s="2" customFormat="1" x14ac:dyDescent="0.35">
      <c r="A17" s="2" t="s">
        <v>74</v>
      </c>
      <c r="B17" s="2">
        <v>50</v>
      </c>
      <c r="C17" s="2" t="s">
        <v>26</v>
      </c>
      <c r="D17" s="2" t="s">
        <v>75</v>
      </c>
      <c r="E17" s="2" t="s">
        <v>76</v>
      </c>
      <c r="F17" s="2" t="s">
        <v>48</v>
      </c>
      <c r="G17" s="2">
        <v>515011</v>
      </c>
      <c r="H17" s="2" t="s">
        <v>30</v>
      </c>
      <c r="I17" s="2">
        <v>4</v>
      </c>
      <c r="J17" s="2" t="s">
        <v>31</v>
      </c>
    </row>
    <row r="18" spans="1:10" s="2" customFormat="1" x14ac:dyDescent="0.35">
      <c r="A18" s="2" t="s">
        <v>77</v>
      </c>
      <c r="B18" s="2">
        <v>50</v>
      </c>
      <c r="C18" s="2" t="s">
        <v>26</v>
      </c>
      <c r="D18" s="2" t="s">
        <v>78</v>
      </c>
      <c r="E18" s="2" t="s">
        <v>79</v>
      </c>
      <c r="F18" s="2" t="s">
        <v>48</v>
      </c>
      <c r="G18" s="2">
        <v>515011</v>
      </c>
      <c r="H18" s="2" t="s">
        <v>30</v>
      </c>
      <c r="I18" s="2">
        <v>4</v>
      </c>
      <c r="J18" s="2" t="s">
        <v>31</v>
      </c>
    </row>
    <row r="19" spans="1:10" s="2" customFormat="1" x14ac:dyDescent="0.35">
      <c r="A19" s="2" t="s">
        <v>80</v>
      </c>
      <c r="B19" s="2">
        <v>50</v>
      </c>
      <c r="C19" s="2" t="s">
        <v>26</v>
      </c>
      <c r="D19" s="2" t="s">
        <v>81</v>
      </c>
      <c r="E19" s="2" t="s">
        <v>82</v>
      </c>
      <c r="F19" s="2" t="s">
        <v>29</v>
      </c>
      <c r="G19" s="2">
        <v>515011</v>
      </c>
      <c r="H19" s="2" t="s">
        <v>30</v>
      </c>
      <c r="I19" s="2">
        <v>6</v>
      </c>
      <c r="J19" s="2" t="s">
        <v>31</v>
      </c>
    </row>
    <row r="20" spans="1:10" s="2" customFormat="1" x14ac:dyDescent="0.35">
      <c r="A20" s="2" t="s">
        <v>83</v>
      </c>
      <c r="B20" s="2">
        <v>50</v>
      </c>
      <c r="C20" s="2" t="s">
        <v>26</v>
      </c>
      <c r="D20" s="2" t="s">
        <v>84</v>
      </c>
      <c r="E20" s="2" t="s">
        <v>85</v>
      </c>
      <c r="F20" s="2" t="s">
        <v>29</v>
      </c>
      <c r="G20" s="2">
        <v>515011</v>
      </c>
      <c r="H20" s="2" t="s">
        <v>30</v>
      </c>
      <c r="I20" s="2">
        <v>4</v>
      </c>
      <c r="J20" s="2" t="s">
        <v>31</v>
      </c>
    </row>
    <row r="21" spans="1:10" s="2" customFormat="1" x14ac:dyDescent="0.35">
      <c r="A21" s="2" t="s">
        <v>86</v>
      </c>
      <c r="B21" s="2">
        <v>50</v>
      </c>
      <c r="C21" s="2" t="s">
        <v>26</v>
      </c>
      <c r="D21" s="2" t="s">
        <v>87</v>
      </c>
      <c r="E21" s="2" t="s">
        <v>88</v>
      </c>
      <c r="F21" s="2" t="s">
        <v>29</v>
      </c>
      <c r="G21" s="2">
        <v>515011</v>
      </c>
      <c r="H21" s="2" t="s">
        <v>30</v>
      </c>
      <c r="I21" s="2">
        <v>5</v>
      </c>
      <c r="J21" s="2" t="s">
        <v>31</v>
      </c>
    </row>
    <row r="22" spans="1:10" s="2" customFormat="1" x14ac:dyDescent="0.35">
      <c r="A22" s="2" t="s">
        <v>89</v>
      </c>
      <c r="B22" s="2">
        <v>50</v>
      </c>
      <c r="C22" s="2" t="s">
        <v>26</v>
      </c>
      <c r="D22" s="2" t="s">
        <v>90</v>
      </c>
      <c r="E22" s="2" t="s">
        <v>91</v>
      </c>
      <c r="F22" s="2" t="s">
        <v>41</v>
      </c>
      <c r="G22" s="2">
        <v>515011</v>
      </c>
      <c r="H22" s="2" t="s">
        <v>30</v>
      </c>
      <c r="I22" s="2">
        <v>5</v>
      </c>
      <c r="J22" s="2" t="s">
        <v>31</v>
      </c>
    </row>
    <row r="23" spans="1:10" s="2" customFormat="1" x14ac:dyDescent="0.35">
      <c r="A23" s="2" t="s">
        <v>92</v>
      </c>
      <c r="B23" s="2">
        <v>50</v>
      </c>
      <c r="C23" s="2" t="s">
        <v>26</v>
      </c>
      <c r="D23" s="2" t="s">
        <v>93</v>
      </c>
      <c r="E23" s="2" t="s">
        <v>94</v>
      </c>
      <c r="F23" s="2" t="s">
        <v>29</v>
      </c>
      <c r="G23" s="2">
        <v>515011</v>
      </c>
      <c r="H23" s="2" t="s">
        <v>30</v>
      </c>
      <c r="I23" s="2">
        <v>5</v>
      </c>
      <c r="J23" s="2" t="s">
        <v>31</v>
      </c>
    </row>
    <row r="24" spans="1:10" s="2" customFormat="1" x14ac:dyDescent="0.35">
      <c r="A24" s="2" t="s">
        <v>95</v>
      </c>
      <c r="B24" s="2">
        <v>50</v>
      </c>
      <c r="C24" s="2" t="s">
        <v>26</v>
      </c>
      <c r="D24" s="2" t="s">
        <v>96</v>
      </c>
      <c r="E24" s="2" t="s">
        <v>97</v>
      </c>
      <c r="F24" s="2" t="s">
        <v>48</v>
      </c>
      <c r="G24" s="2">
        <v>515011</v>
      </c>
      <c r="H24" s="2" t="s">
        <v>30</v>
      </c>
      <c r="I24" s="2">
        <v>3</v>
      </c>
      <c r="J24" s="2" t="s">
        <v>31</v>
      </c>
    </row>
    <row r="25" spans="1:10" s="2" customFormat="1" x14ac:dyDescent="0.35">
      <c r="A25" s="2" t="s">
        <v>98</v>
      </c>
      <c r="B25" s="2">
        <v>50</v>
      </c>
      <c r="C25" s="2" t="s">
        <v>26</v>
      </c>
      <c r="D25" s="2" t="s">
        <v>99</v>
      </c>
      <c r="E25" s="2" t="s">
        <v>100</v>
      </c>
      <c r="F25" s="2" t="s">
        <v>48</v>
      </c>
      <c r="G25" s="2">
        <v>515011</v>
      </c>
      <c r="H25" s="2" t="s">
        <v>30</v>
      </c>
      <c r="I25" s="2">
        <v>5</v>
      </c>
      <c r="J25" s="2" t="s">
        <v>31</v>
      </c>
    </row>
    <row r="26" spans="1:10" s="2" customFormat="1" x14ac:dyDescent="0.35">
      <c r="A26" s="2" t="s">
        <v>101</v>
      </c>
      <c r="B26" s="2">
        <v>50</v>
      </c>
      <c r="C26" s="2" t="s">
        <v>26</v>
      </c>
      <c r="D26" s="2" t="s">
        <v>102</v>
      </c>
      <c r="E26" s="2" t="s">
        <v>103</v>
      </c>
      <c r="F26" s="2" t="s">
        <v>41</v>
      </c>
      <c r="G26" s="2">
        <v>515011</v>
      </c>
      <c r="H26" s="2" t="s">
        <v>30</v>
      </c>
      <c r="I26" s="2">
        <v>5</v>
      </c>
      <c r="J26" s="2" t="s">
        <v>31</v>
      </c>
    </row>
    <row r="27" spans="1:10" s="2" customFormat="1" x14ac:dyDescent="0.35">
      <c r="A27" s="2" t="s">
        <v>104</v>
      </c>
      <c r="B27" s="2">
        <v>50</v>
      </c>
      <c r="C27" s="2" t="s">
        <v>26</v>
      </c>
      <c r="D27" s="2" t="s">
        <v>105</v>
      </c>
      <c r="E27" s="2" t="s">
        <v>106</v>
      </c>
      <c r="F27" s="2" t="s">
        <v>29</v>
      </c>
      <c r="G27" s="2">
        <v>515014</v>
      </c>
      <c r="H27" s="2" t="s">
        <v>30</v>
      </c>
      <c r="I27" s="2">
        <v>0</v>
      </c>
      <c r="J27" s="2" t="s">
        <v>31</v>
      </c>
    </row>
    <row r="28" spans="1:10" s="2" customFormat="1" x14ac:dyDescent="0.35">
      <c r="A28" s="2" t="s">
        <v>107</v>
      </c>
      <c r="B28" s="2">
        <v>50</v>
      </c>
      <c r="C28" s="2" t="s">
        <v>26</v>
      </c>
      <c r="D28" s="2" t="s">
        <v>108</v>
      </c>
      <c r="E28" s="2" t="s">
        <v>109</v>
      </c>
      <c r="G28" s="2">
        <v>515102</v>
      </c>
      <c r="H28" s="2" t="s">
        <v>30</v>
      </c>
      <c r="I28" s="2">
        <v>0</v>
      </c>
      <c r="J28" s="2" t="s">
        <v>31</v>
      </c>
    </row>
    <row r="29" spans="1:10" s="2" customFormat="1" x14ac:dyDescent="0.35">
      <c r="A29" s="2" t="s">
        <v>110</v>
      </c>
      <c r="B29" s="2">
        <v>50</v>
      </c>
      <c r="C29" s="2" t="s">
        <v>26</v>
      </c>
      <c r="D29" s="2" t="s">
        <v>111</v>
      </c>
      <c r="E29" s="2" t="s">
        <v>112</v>
      </c>
      <c r="G29" s="2">
        <v>515102</v>
      </c>
      <c r="H29" s="2" t="s">
        <v>30</v>
      </c>
      <c r="I29" s="2">
        <v>0</v>
      </c>
      <c r="J29" s="2" t="s">
        <v>31</v>
      </c>
    </row>
    <row r="30" spans="1:10" s="2" customFormat="1" x14ac:dyDescent="0.35">
      <c r="A30" s="2" t="s">
        <v>113</v>
      </c>
      <c r="B30" s="2">
        <v>50</v>
      </c>
      <c r="C30" s="2" t="s">
        <v>26</v>
      </c>
      <c r="D30" s="2" t="s">
        <v>114</v>
      </c>
      <c r="E30" s="2" t="s">
        <v>115</v>
      </c>
      <c r="G30" s="2">
        <v>515102</v>
      </c>
      <c r="H30" s="2" t="s">
        <v>30</v>
      </c>
      <c r="I30" s="2">
        <v>0</v>
      </c>
      <c r="J30" s="2" t="s">
        <v>31</v>
      </c>
    </row>
    <row r="31" spans="1:10" s="2" customFormat="1" x14ac:dyDescent="0.35">
      <c r="A31" s="2" t="s">
        <v>116</v>
      </c>
      <c r="B31" s="2">
        <v>50</v>
      </c>
      <c r="C31" s="2" t="s">
        <v>26</v>
      </c>
      <c r="D31" s="2" t="s">
        <v>117</v>
      </c>
      <c r="E31" s="2" t="s">
        <v>118</v>
      </c>
      <c r="G31" s="2">
        <v>515102</v>
      </c>
      <c r="H31" s="2" t="s">
        <v>30</v>
      </c>
      <c r="I31" s="2">
        <v>0</v>
      </c>
      <c r="J31" s="2" t="s">
        <v>31</v>
      </c>
    </row>
    <row r="32" spans="1:10" s="2" customFormat="1" x14ac:dyDescent="0.35">
      <c r="A32" s="2" t="s">
        <v>119</v>
      </c>
      <c r="B32" s="2">
        <v>50</v>
      </c>
      <c r="C32" s="2" t="s">
        <v>26</v>
      </c>
      <c r="D32" s="2" t="s">
        <v>120</v>
      </c>
      <c r="E32" s="2" t="s">
        <v>121</v>
      </c>
      <c r="G32" s="2">
        <v>515102</v>
      </c>
      <c r="H32" s="2" t="s">
        <v>30</v>
      </c>
      <c r="I32" s="2">
        <v>0</v>
      </c>
      <c r="J32" s="2" t="s">
        <v>31</v>
      </c>
    </row>
    <row r="33" spans="1:10" s="2" customFormat="1" x14ac:dyDescent="0.35">
      <c r="A33" s="2" t="s">
        <v>122</v>
      </c>
      <c r="B33" s="2">
        <v>50</v>
      </c>
      <c r="C33" s="2" t="s">
        <v>26</v>
      </c>
      <c r="D33" s="2" t="s">
        <v>123</v>
      </c>
      <c r="E33" s="2" t="s">
        <v>124</v>
      </c>
      <c r="G33" s="2">
        <v>515102</v>
      </c>
      <c r="H33" s="2" t="s">
        <v>30</v>
      </c>
      <c r="I33" s="2">
        <v>0</v>
      </c>
      <c r="J33" s="2" t="s">
        <v>31</v>
      </c>
    </row>
    <row r="34" spans="1:10" s="2" customFormat="1" x14ac:dyDescent="0.35">
      <c r="A34" s="2" t="s">
        <v>125</v>
      </c>
      <c r="B34" s="2">
        <v>50</v>
      </c>
      <c r="C34" s="2" t="s">
        <v>26</v>
      </c>
      <c r="D34" s="2" t="s">
        <v>126</v>
      </c>
      <c r="E34" s="2" t="s">
        <v>127</v>
      </c>
      <c r="G34" s="2">
        <v>515102</v>
      </c>
      <c r="H34" s="2" t="s">
        <v>30</v>
      </c>
      <c r="I34" s="2">
        <v>0</v>
      </c>
      <c r="J34" s="2" t="s">
        <v>31</v>
      </c>
    </row>
    <row r="35" spans="1:10" s="2" customFormat="1" x14ac:dyDescent="0.35">
      <c r="A35" s="2" t="s">
        <v>128</v>
      </c>
      <c r="B35" s="2">
        <v>50</v>
      </c>
      <c r="C35" s="2" t="s">
        <v>26</v>
      </c>
      <c r="D35" s="2" t="s">
        <v>129</v>
      </c>
      <c r="E35" s="2" t="s">
        <v>130</v>
      </c>
      <c r="G35" s="2">
        <v>515102</v>
      </c>
      <c r="H35" s="2" t="s">
        <v>30</v>
      </c>
      <c r="I35" s="2">
        <v>0</v>
      </c>
      <c r="J35" s="2" t="s">
        <v>31</v>
      </c>
    </row>
    <row r="36" spans="1:10" s="2" customFormat="1" x14ac:dyDescent="0.35">
      <c r="A36" s="2" t="s">
        <v>131</v>
      </c>
      <c r="B36" s="2">
        <v>50</v>
      </c>
      <c r="C36" s="2" t="s">
        <v>26</v>
      </c>
      <c r="D36" s="2" t="s">
        <v>132</v>
      </c>
      <c r="E36" s="2" t="s">
        <v>133</v>
      </c>
      <c r="G36" s="2">
        <v>515102</v>
      </c>
      <c r="H36" s="2" t="s">
        <v>30</v>
      </c>
      <c r="I36" s="2">
        <v>0</v>
      </c>
      <c r="J36" s="2" t="s">
        <v>31</v>
      </c>
    </row>
    <row r="37" spans="1:10" s="2" customFormat="1" x14ac:dyDescent="0.35">
      <c r="A37" s="2" t="s">
        <v>134</v>
      </c>
      <c r="B37" s="2">
        <v>50</v>
      </c>
      <c r="C37" s="2" t="s">
        <v>26</v>
      </c>
      <c r="D37" s="2" t="s">
        <v>135</v>
      </c>
      <c r="E37" s="2" t="s">
        <v>66</v>
      </c>
      <c r="G37" s="2">
        <v>515102</v>
      </c>
      <c r="H37" s="2" t="s">
        <v>30</v>
      </c>
      <c r="I37" s="2">
        <v>0</v>
      </c>
      <c r="J37" s="2" t="s">
        <v>31</v>
      </c>
    </row>
    <row r="38" spans="1:10" s="2" customFormat="1" x14ac:dyDescent="0.35">
      <c r="A38" s="2" t="s">
        <v>136</v>
      </c>
      <c r="B38" s="2">
        <v>50</v>
      </c>
      <c r="C38" s="2" t="s">
        <v>26</v>
      </c>
      <c r="D38" s="2" t="s">
        <v>137</v>
      </c>
      <c r="E38" s="2" t="s">
        <v>138</v>
      </c>
      <c r="G38" s="2">
        <v>515102</v>
      </c>
      <c r="H38" s="2" t="s">
        <v>30</v>
      </c>
      <c r="I38" s="2">
        <v>0</v>
      </c>
      <c r="J38" s="2" t="s">
        <v>31</v>
      </c>
    </row>
    <row r="39" spans="1:10" s="2" customFormat="1" x14ac:dyDescent="0.35">
      <c r="A39" s="2" t="s">
        <v>139</v>
      </c>
      <c r="B39" s="2">
        <v>50</v>
      </c>
      <c r="C39" s="2" t="s">
        <v>26</v>
      </c>
      <c r="D39" s="2" t="s">
        <v>140</v>
      </c>
      <c r="E39" s="2" t="s">
        <v>141</v>
      </c>
      <c r="G39" s="2">
        <v>515102</v>
      </c>
      <c r="H39" s="2" t="s">
        <v>30</v>
      </c>
      <c r="I39" s="2">
        <v>0</v>
      </c>
      <c r="J39" s="2" t="s">
        <v>31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70BA-7397-464D-8542-6DFEFBED0512}">
  <sheetPr codeName="Sheet3"/>
  <dimension ref="A1:C3"/>
  <sheetViews>
    <sheetView workbookViewId="0">
      <selection activeCell="B2" sqref="B2"/>
    </sheetView>
  </sheetViews>
  <sheetFormatPr defaultRowHeight="14.5" x14ac:dyDescent="0.35"/>
  <cols>
    <col min="1" max="1" width="10.6328125" customWidth="1"/>
    <col min="3" max="3" width="21.6328125" customWidth="1"/>
  </cols>
  <sheetData>
    <row r="1" spans="1:3" x14ac:dyDescent="0.35">
      <c r="A1" t="s">
        <v>12</v>
      </c>
      <c r="C1" t="s">
        <v>5</v>
      </c>
    </row>
    <row r="2" spans="1:3" x14ac:dyDescent="0.35">
      <c r="A2" t="s">
        <v>13</v>
      </c>
      <c r="C2" t="s">
        <v>14</v>
      </c>
    </row>
    <row r="3" spans="1:3" x14ac:dyDescent="0.35">
      <c r="A3" t="s">
        <v>15</v>
      </c>
      <c r="C3" t="s">
        <v>16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A9EB1-FAD6-4D5E-BA16-D394E9972FF2}">
  <sheetPr codeName="Sheet7"/>
  <dimension ref="B2:AA65"/>
  <sheetViews>
    <sheetView topLeftCell="A29" workbookViewId="0">
      <selection activeCell="A31" sqref="A31:XFD31"/>
    </sheetView>
  </sheetViews>
  <sheetFormatPr defaultRowHeight="14.5" x14ac:dyDescent="0.35"/>
  <cols>
    <col min="2" max="2" width="17.1796875" customWidth="1"/>
    <col min="3" max="3" width="29.7265625" customWidth="1"/>
    <col min="4" max="4" width="22.7265625" customWidth="1"/>
    <col min="11" max="11" width="21.81640625" customWidth="1"/>
    <col min="13" max="13" width="16.7265625" customWidth="1"/>
    <col min="15" max="15" width="10.453125" customWidth="1"/>
    <col min="17" max="17" width="17" customWidth="1"/>
    <col min="19" max="19" width="19.6328125" customWidth="1"/>
    <col min="21" max="21" width="15.1796875" customWidth="1"/>
    <col min="23" max="23" width="13.6328125" customWidth="1"/>
    <col min="25" max="25" width="17.7265625" customWidth="1"/>
    <col min="27" max="27" width="13.26953125" customWidth="1"/>
  </cols>
  <sheetData>
    <row r="2" spans="2:27" x14ac:dyDescent="0.35">
      <c r="B2" s="13" t="s">
        <v>152</v>
      </c>
      <c r="C2" s="14"/>
      <c r="D2" s="14"/>
      <c r="E2" s="14"/>
      <c r="F2" s="14"/>
      <c r="G2" s="14"/>
      <c r="H2" s="14"/>
      <c r="I2" s="15"/>
      <c r="K2" t="s">
        <v>240</v>
      </c>
      <c r="M2" s="1" t="s">
        <v>194</v>
      </c>
      <c r="O2" s="1" t="s">
        <v>181</v>
      </c>
      <c r="Q2" s="1" t="s">
        <v>165</v>
      </c>
      <c r="S2" s="1" t="s">
        <v>178</v>
      </c>
      <c r="U2" s="1" t="s">
        <v>231</v>
      </c>
      <c r="W2" s="1" t="s">
        <v>226</v>
      </c>
      <c r="Y2" s="1" t="s">
        <v>234</v>
      </c>
      <c r="AA2" s="1" t="s">
        <v>233</v>
      </c>
    </row>
    <row r="3" spans="2:27" x14ac:dyDescent="0.35">
      <c r="B3" s="3" t="s">
        <v>153</v>
      </c>
      <c r="C3" s="9" t="s">
        <v>250</v>
      </c>
      <c r="D3" s="10">
        <v>300577683</v>
      </c>
      <c r="E3" s="1"/>
      <c r="F3" s="1"/>
      <c r="G3" s="1"/>
      <c r="H3" s="1"/>
      <c r="I3" s="1"/>
      <c r="K3" t="s">
        <v>241</v>
      </c>
      <c r="M3" s="1" t="s">
        <v>187</v>
      </c>
      <c r="O3" s="1" t="s">
        <v>181</v>
      </c>
      <c r="Q3" s="1" t="s">
        <v>153</v>
      </c>
      <c r="S3" s="1" t="s">
        <v>168</v>
      </c>
      <c r="U3" s="1" t="s">
        <v>229</v>
      </c>
      <c r="W3" s="1" t="s">
        <v>220</v>
      </c>
      <c r="Y3" s="1" t="s">
        <v>197</v>
      </c>
      <c r="AA3" s="1" t="s">
        <v>184</v>
      </c>
    </row>
    <row r="4" spans="2:27" x14ac:dyDescent="0.35">
      <c r="B4" s="3" t="s">
        <v>154</v>
      </c>
      <c r="C4" s="9" t="s">
        <v>261</v>
      </c>
      <c r="D4" s="10">
        <v>300596686</v>
      </c>
      <c r="E4" s="1"/>
      <c r="F4" s="1"/>
      <c r="G4" s="1"/>
      <c r="H4" s="1"/>
      <c r="I4" s="1"/>
      <c r="K4" t="s">
        <v>242</v>
      </c>
      <c r="M4" s="1" t="s">
        <v>188</v>
      </c>
      <c r="Q4" s="1" t="s">
        <v>154</v>
      </c>
      <c r="S4" s="1" t="s">
        <v>169</v>
      </c>
      <c r="U4" s="1" t="s">
        <v>230</v>
      </c>
      <c r="W4" s="1" t="s">
        <v>221</v>
      </c>
      <c r="Y4" s="1" t="s">
        <v>199</v>
      </c>
      <c r="AA4" s="1" t="s">
        <v>185</v>
      </c>
    </row>
    <row r="5" spans="2:27" x14ac:dyDescent="0.35">
      <c r="B5" s="3" t="s">
        <v>155</v>
      </c>
      <c r="C5" s="9" t="s">
        <v>251</v>
      </c>
      <c r="D5" s="10">
        <v>300577685</v>
      </c>
      <c r="E5" s="1"/>
      <c r="F5" s="1"/>
      <c r="G5" s="1"/>
      <c r="H5" s="1"/>
      <c r="I5" s="1"/>
      <c r="K5" t="s">
        <v>243</v>
      </c>
      <c r="M5" s="1" t="s">
        <v>189</v>
      </c>
      <c r="Q5" s="1" t="s">
        <v>155</v>
      </c>
      <c r="S5" s="1" t="s">
        <v>170</v>
      </c>
      <c r="U5" s="1" t="s">
        <v>231</v>
      </c>
      <c r="W5" s="1" t="s">
        <v>222</v>
      </c>
      <c r="Y5" s="1" t="s">
        <v>201</v>
      </c>
    </row>
    <row r="6" spans="2:27" x14ac:dyDescent="0.35">
      <c r="B6" s="3" t="s">
        <v>156</v>
      </c>
      <c r="C6" s="9" t="s">
        <v>252</v>
      </c>
      <c r="D6" s="10">
        <v>301240218</v>
      </c>
      <c r="E6" s="1"/>
      <c r="F6" s="1"/>
      <c r="G6" s="1"/>
      <c r="H6" s="1"/>
      <c r="I6" s="1"/>
      <c r="K6" t="s">
        <v>244</v>
      </c>
      <c r="M6" s="1" t="s">
        <v>190</v>
      </c>
      <c r="Q6" s="1" t="s">
        <v>156</v>
      </c>
      <c r="S6" s="1" t="s">
        <v>171</v>
      </c>
      <c r="W6" s="1" t="s">
        <v>223</v>
      </c>
      <c r="Y6" s="1" t="s">
        <v>203</v>
      </c>
    </row>
    <row r="7" spans="2:27" x14ac:dyDescent="0.35">
      <c r="B7" s="3" t="s">
        <v>157</v>
      </c>
      <c r="C7" s="9" t="s">
        <v>253</v>
      </c>
      <c r="D7" s="10">
        <v>300577688</v>
      </c>
      <c r="E7" s="1"/>
      <c r="F7" s="1"/>
      <c r="G7" s="1"/>
      <c r="H7" s="1"/>
      <c r="I7" s="1"/>
      <c r="K7" t="s">
        <v>245</v>
      </c>
      <c r="M7" s="1" t="s">
        <v>191</v>
      </c>
      <c r="Q7" s="1" t="s">
        <v>157</v>
      </c>
      <c r="S7" s="1" t="s">
        <v>172</v>
      </c>
      <c r="W7" s="1" t="s">
        <v>224</v>
      </c>
      <c r="Y7" s="1" t="s">
        <v>205</v>
      </c>
    </row>
    <row r="8" spans="2:27" x14ac:dyDescent="0.35">
      <c r="B8" s="3" t="s">
        <v>158</v>
      </c>
      <c r="C8" s="9" t="s">
        <v>254</v>
      </c>
      <c r="D8" s="10">
        <v>300577688</v>
      </c>
      <c r="E8" s="1"/>
      <c r="F8" s="1"/>
      <c r="G8" s="1"/>
      <c r="H8" s="1"/>
      <c r="I8" s="1"/>
      <c r="K8" t="s">
        <v>246</v>
      </c>
      <c r="M8" s="1" t="s">
        <v>192</v>
      </c>
      <c r="Q8" s="1" t="s">
        <v>158</v>
      </c>
      <c r="S8" s="1" t="s">
        <v>173</v>
      </c>
      <c r="W8" s="1" t="s">
        <v>225</v>
      </c>
      <c r="Y8" s="1" t="s">
        <v>207</v>
      </c>
    </row>
    <row r="9" spans="2:27" x14ac:dyDescent="0.35">
      <c r="B9" s="3" t="s">
        <v>159</v>
      </c>
      <c r="C9" s="9" t="s">
        <v>255</v>
      </c>
      <c r="D9" s="10">
        <v>300577686</v>
      </c>
      <c r="E9" s="1"/>
      <c r="F9" s="1"/>
      <c r="G9" s="1"/>
      <c r="H9" s="1"/>
      <c r="I9" s="1"/>
      <c r="K9" t="s">
        <v>247</v>
      </c>
      <c r="M9" s="1" t="s">
        <v>193</v>
      </c>
      <c r="Q9" s="1" t="s">
        <v>159</v>
      </c>
      <c r="S9" s="1" t="s">
        <v>174</v>
      </c>
      <c r="W9" s="1" t="s">
        <v>226</v>
      </c>
      <c r="Y9" s="1" t="s">
        <v>209</v>
      </c>
    </row>
    <row r="10" spans="2:27" x14ac:dyDescent="0.35">
      <c r="B10" s="3" t="s">
        <v>160</v>
      </c>
      <c r="C10" s="9" t="s">
        <v>256</v>
      </c>
      <c r="D10" s="10">
        <v>301240215</v>
      </c>
      <c r="E10" s="1"/>
      <c r="F10" s="1"/>
      <c r="G10" s="1"/>
      <c r="H10" s="1"/>
      <c r="I10" s="1"/>
      <c r="K10" t="s">
        <v>248</v>
      </c>
      <c r="M10" s="1" t="s">
        <v>194</v>
      </c>
      <c r="Q10" s="1" t="s">
        <v>160</v>
      </c>
      <c r="S10" s="1" t="s">
        <v>175</v>
      </c>
      <c r="Y10" s="1" t="s">
        <v>211</v>
      </c>
    </row>
    <row r="11" spans="2:27" x14ac:dyDescent="0.35">
      <c r="B11" s="5" t="s">
        <v>161</v>
      </c>
      <c r="C11" s="9" t="s">
        <v>257</v>
      </c>
      <c r="D11" s="10">
        <v>300577687</v>
      </c>
      <c r="E11" s="1"/>
      <c r="F11" s="1"/>
      <c r="G11" s="1"/>
      <c r="H11" s="1"/>
      <c r="I11" s="1"/>
      <c r="Q11" s="1" t="s">
        <v>161</v>
      </c>
      <c r="S11" s="1" t="s">
        <v>176</v>
      </c>
      <c r="Y11" s="1" t="s">
        <v>213</v>
      </c>
    </row>
    <row r="12" spans="2:27" x14ac:dyDescent="0.35">
      <c r="B12" s="3" t="s">
        <v>162</v>
      </c>
      <c r="C12" s="9" t="s">
        <v>258</v>
      </c>
      <c r="D12" s="10">
        <v>300577687</v>
      </c>
      <c r="E12" s="1"/>
      <c r="F12" s="1"/>
      <c r="G12" s="1"/>
      <c r="H12" s="1"/>
      <c r="I12" s="1"/>
      <c r="Q12" s="1" t="s">
        <v>162</v>
      </c>
      <c r="S12" s="1" t="s">
        <v>177</v>
      </c>
      <c r="Y12" s="1" t="s">
        <v>215</v>
      </c>
    </row>
    <row r="13" spans="2:27" x14ac:dyDescent="0.35">
      <c r="B13" s="3" t="s">
        <v>163</v>
      </c>
      <c r="C13" s="9" t="s">
        <v>259</v>
      </c>
      <c r="D13" s="10">
        <v>300577684</v>
      </c>
      <c r="E13" s="1"/>
      <c r="F13" s="1"/>
      <c r="G13" s="1"/>
      <c r="H13" s="1"/>
      <c r="I13" s="1"/>
      <c r="Q13" s="1" t="s">
        <v>163</v>
      </c>
      <c r="S13" s="1" t="s">
        <v>178</v>
      </c>
      <c r="Y13" s="1" t="s">
        <v>217</v>
      </c>
    </row>
    <row r="14" spans="2:27" x14ac:dyDescent="0.35">
      <c r="B14" s="3" t="s">
        <v>164</v>
      </c>
      <c r="C14" s="9" t="s">
        <v>260</v>
      </c>
      <c r="D14" s="10">
        <v>300577684</v>
      </c>
      <c r="E14" s="1"/>
      <c r="F14" s="1"/>
      <c r="G14" s="1"/>
      <c r="H14" s="1"/>
      <c r="I14" s="1"/>
      <c r="Q14" s="1" t="s">
        <v>164</v>
      </c>
    </row>
    <row r="15" spans="2:27" x14ac:dyDescent="0.35">
      <c r="B15" s="3" t="s">
        <v>165</v>
      </c>
      <c r="C15" s="9" t="s">
        <v>166</v>
      </c>
      <c r="D15" s="10">
        <v>300469389</v>
      </c>
      <c r="E15" s="1"/>
      <c r="F15" s="1"/>
      <c r="G15" s="1"/>
      <c r="H15" s="1"/>
      <c r="I15" s="1"/>
      <c r="Q15" s="1" t="s">
        <v>165</v>
      </c>
    </row>
    <row r="16" spans="2:27" x14ac:dyDescent="0.35">
      <c r="B16" s="13" t="s">
        <v>167</v>
      </c>
      <c r="C16" s="14"/>
      <c r="D16" s="14"/>
      <c r="E16" s="14"/>
      <c r="F16" s="14"/>
      <c r="G16" s="14"/>
      <c r="H16" s="14"/>
      <c r="I16" s="15"/>
    </row>
    <row r="17" spans="2:9" x14ac:dyDescent="0.35">
      <c r="B17" s="3" t="s">
        <v>168</v>
      </c>
      <c r="C17" s="9" t="s">
        <v>262</v>
      </c>
      <c r="D17" s="10">
        <v>300577691</v>
      </c>
      <c r="E17" s="1"/>
      <c r="F17" s="1"/>
      <c r="G17" s="1"/>
      <c r="H17" s="1"/>
      <c r="I17" s="1"/>
    </row>
    <row r="18" spans="2:9" x14ac:dyDescent="0.35">
      <c r="B18" s="3" t="s">
        <v>169</v>
      </c>
      <c r="C18" s="9" t="s">
        <v>263</v>
      </c>
      <c r="D18" s="10">
        <v>301240217</v>
      </c>
      <c r="E18" s="1"/>
      <c r="F18" s="1"/>
      <c r="G18" s="1"/>
      <c r="H18" s="1"/>
      <c r="I18" s="1"/>
    </row>
    <row r="19" spans="2:9" x14ac:dyDescent="0.35">
      <c r="B19" s="3" t="s">
        <v>170</v>
      </c>
      <c r="C19" s="9" t="s">
        <v>264</v>
      </c>
      <c r="D19" s="10">
        <v>300718040</v>
      </c>
      <c r="E19" s="1"/>
      <c r="F19" s="1"/>
      <c r="G19" s="1"/>
      <c r="H19" s="1"/>
      <c r="I19" s="1"/>
    </row>
    <row r="20" spans="2:9" x14ac:dyDescent="0.35">
      <c r="B20" s="3" t="s">
        <v>171</v>
      </c>
      <c r="C20" s="9" t="s">
        <v>265</v>
      </c>
      <c r="D20" s="10">
        <v>300718040</v>
      </c>
      <c r="E20" s="1"/>
      <c r="F20" s="1"/>
      <c r="G20" s="1"/>
      <c r="H20" s="1"/>
      <c r="I20" s="1"/>
    </row>
    <row r="21" spans="2:9" x14ac:dyDescent="0.35">
      <c r="B21" s="3" t="s">
        <v>172</v>
      </c>
      <c r="C21" s="9" t="s">
        <v>266</v>
      </c>
      <c r="D21" s="10">
        <v>300577690</v>
      </c>
      <c r="E21" s="1"/>
      <c r="F21" s="1"/>
      <c r="G21" s="1"/>
      <c r="H21" s="1"/>
      <c r="I21" s="1"/>
    </row>
    <row r="22" spans="2:9" x14ac:dyDescent="0.35">
      <c r="B22" s="3" t="s">
        <v>173</v>
      </c>
      <c r="C22" s="9" t="s">
        <v>267</v>
      </c>
      <c r="D22" s="10">
        <v>301240216</v>
      </c>
      <c r="E22" s="1"/>
      <c r="F22" s="1"/>
      <c r="G22" s="1"/>
      <c r="H22" s="1"/>
      <c r="I22" s="1"/>
    </row>
    <row r="23" spans="2:9" x14ac:dyDescent="0.35">
      <c r="B23" s="3" t="s">
        <v>174</v>
      </c>
      <c r="C23" s="9" t="s">
        <v>268</v>
      </c>
      <c r="D23" s="10">
        <v>300717711</v>
      </c>
      <c r="E23" s="1"/>
      <c r="F23" s="1"/>
      <c r="G23" s="1"/>
      <c r="H23" s="1"/>
      <c r="I23" s="1"/>
    </row>
    <row r="24" spans="2:9" x14ac:dyDescent="0.35">
      <c r="B24" s="3" t="s">
        <v>175</v>
      </c>
      <c r="C24" s="9" t="s">
        <v>269</v>
      </c>
      <c r="D24" s="10">
        <v>300596689</v>
      </c>
      <c r="E24" s="1"/>
      <c r="F24" s="1"/>
      <c r="G24" s="1"/>
      <c r="H24" s="1"/>
      <c r="I24" s="1"/>
    </row>
    <row r="25" spans="2:9" x14ac:dyDescent="0.35">
      <c r="B25" s="3" t="s">
        <v>176</v>
      </c>
      <c r="C25" s="9" t="s">
        <v>270</v>
      </c>
      <c r="D25" s="10">
        <v>300577689</v>
      </c>
      <c r="E25" s="1"/>
      <c r="F25" s="1"/>
      <c r="G25" s="1"/>
      <c r="H25" s="1"/>
      <c r="I25" s="1"/>
    </row>
    <row r="26" spans="2:9" x14ac:dyDescent="0.35">
      <c r="B26" s="3" t="s">
        <v>177</v>
      </c>
      <c r="C26" s="9" t="s">
        <v>303</v>
      </c>
      <c r="D26" s="10">
        <v>300577689</v>
      </c>
      <c r="E26" s="1"/>
      <c r="F26" s="1"/>
      <c r="G26" s="1"/>
      <c r="H26" s="1"/>
      <c r="I26" s="1"/>
    </row>
    <row r="27" spans="2:9" x14ac:dyDescent="0.35">
      <c r="B27" s="3" t="s">
        <v>178</v>
      </c>
      <c r="C27" s="9" t="s">
        <v>179</v>
      </c>
      <c r="D27" s="10">
        <v>300469388</v>
      </c>
    </row>
    <row r="28" spans="2:9" x14ac:dyDescent="0.35">
      <c r="B28" s="13" t="s">
        <v>180</v>
      </c>
      <c r="C28" s="14"/>
      <c r="D28" s="14"/>
      <c r="E28" s="14"/>
      <c r="F28" s="14"/>
      <c r="G28" s="14"/>
      <c r="H28" s="14"/>
      <c r="I28" s="15"/>
    </row>
    <row r="29" spans="2:9" s="10" customFormat="1" x14ac:dyDescent="0.35">
      <c r="B29" s="9" t="s">
        <v>181</v>
      </c>
      <c r="C29" s="9" t="s">
        <v>182</v>
      </c>
      <c r="D29" s="10">
        <v>300469400</v>
      </c>
    </row>
    <row r="30" spans="2:9" x14ac:dyDescent="0.35">
      <c r="B30" s="13" t="s">
        <v>183</v>
      </c>
      <c r="C30" s="14"/>
      <c r="D30" s="14"/>
      <c r="E30" s="14"/>
      <c r="F30" s="14"/>
      <c r="G30" s="14"/>
      <c r="H30" s="14"/>
      <c r="I30" s="15"/>
    </row>
    <row r="31" spans="2:9" x14ac:dyDescent="0.35">
      <c r="B31" s="3" t="s">
        <v>184</v>
      </c>
      <c r="C31" s="9" t="s">
        <v>271</v>
      </c>
      <c r="D31" s="10">
        <v>300717785</v>
      </c>
    </row>
    <row r="32" spans="2:9" x14ac:dyDescent="0.35">
      <c r="B32" s="3" t="s">
        <v>185</v>
      </c>
      <c r="C32" s="9" t="s">
        <v>272</v>
      </c>
      <c r="D32" s="10">
        <v>300596755</v>
      </c>
    </row>
    <row r="33" spans="2:9" x14ac:dyDescent="0.35">
      <c r="B33" s="13" t="s">
        <v>186</v>
      </c>
      <c r="C33" s="14"/>
      <c r="D33" s="14"/>
      <c r="E33" s="14"/>
      <c r="F33" s="14"/>
      <c r="G33" s="14"/>
      <c r="H33" s="14"/>
      <c r="I33" s="15"/>
    </row>
    <row r="34" spans="2:9" s="10" customFormat="1" x14ac:dyDescent="0.35">
      <c r="B34" s="9" t="s">
        <v>187</v>
      </c>
      <c r="C34" s="9" t="s">
        <v>273</v>
      </c>
      <c r="D34" s="10">
        <v>300577678</v>
      </c>
    </row>
    <row r="35" spans="2:9" s="10" customFormat="1" x14ac:dyDescent="0.35">
      <c r="B35" s="9" t="s">
        <v>188</v>
      </c>
      <c r="C35" s="9" t="s">
        <v>274</v>
      </c>
      <c r="D35" s="10">
        <v>300577678</v>
      </c>
    </row>
    <row r="36" spans="2:9" s="10" customFormat="1" x14ac:dyDescent="0.35">
      <c r="B36" s="9" t="s">
        <v>189</v>
      </c>
      <c r="C36" s="9" t="s">
        <v>275</v>
      </c>
      <c r="D36" s="10">
        <v>300596684</v>
      </c>
    </row>
    <row r="37" spans="2:9" s="10" customFormat="1" x14ac:dyDescent="0.35">
      <c r="B37" s="9" t="s">
        <v>190</v>
      </c>
      <c r="C37" s="9" t="s">
        <v>276</v>
      </c>
      <c r="D37" s="10">
        <v>300596684</v>
      </c>
    </row>
    <row r="38" spans="2:9" s="10" customFormat="1" x14ac:dyDescent="0.35">
      <c r="B38" s="9" t="s">
        <v>191</v>
      </c>
      <c r="C38" s="9" t="s">
        <v>277</v>
      </c>
      <c r="D38" s="10">
        <v>300717703</v>
      </c>
    </row>
    <row r="39" spans="2:9" s="10" customFormat="1" x14ac:dyDescent="0.35">
      <c r="B39" s="9" t="s">
        <v>192</v>
      </c>
      <c r="C39" s="9" t="s">
        <v>278</v>
      </c>
      <c r="D39" s="10">
        <v>300717703</v>
      </c>
    </row>
    <row r="40" spans="2:9" s="10" customFormat="1" x14ac:dyDescent="0.35">
      <c r="B40" s="9" t="s">
        <v>193</v>
      </c>
      <c r="C40" s="9" t="s">
        <v>279</v>
      </c>
      <c r="D40" s="10">
        <v>300469390</v>
      </c>
    </row>
    <row r="41" spans="2:9" s="10" customFormat="1" x14ac:dyDescent="0.35">
      <c r="B41" s="9" t="s">
        <v>194</v>
      </c>
      <c r="C41" s="9" t="s">
        <v>195</v>
      </c>
      <c r="D41" s="10">
        <v>300469390</v>
      </c>
    </row>
    <row r="42" spans="2:9" x14ac:dyDescent="0.35">
      <c r="B42" s="13" t="s">
        <v>196</v>
      </c>
      <c r="C42" s="14"/>
      <c r="D42" s="14"/>
      <c r="E42" s="14"/>
      <c r="F42" s="14"/>
      <c r="G42" s="14"/>
      <c r="H42" s="14"/>
      <c r="I42" s="15"/>
    </row>
    <row r="43" spans="2:9" x14ac:dyDescent="0.35">
      <c r="B43" s="3" t="s">
        <v>197</v>
      </c>
      <c r="C43" s="9" t="s">
        <v>198</v>
      </c>
      <c r="D43" s="10">
        <v>300469369</v>
      </c>
    </row>
    <row r="44" spans="2:9" x14ac:dyDescent="0.35">
      <c r="B44" s="3" t="s">
        <v>199</v>
      </c>
      <c r="C44" s="9" t="s">
        <v>200</v>
      </c>
      <c r="D44" s="10">
        <v>300596802</v>
      </c>
    </row>
    <row r="45" spans="2:9" x14ac:dyDescent="0.35">
      <c r="B45" s="3" t="s">
        <v>201</v>
      </c>
      <c r="C45" s="9" t="s">
        <v>202</v>
      </c>
      <c r="D45" s="10">
        <v>300596833</v>
      </c>
    </row>
    <row r="46" spans="2:9" x14ac:dyDescent="0.35">
      <c r="B46" s="3" t="s">
        <v>203</v>
      </c>
      <c r="C46" s="9" t="s">
        <v>204</v>
      </c>
      <c r="D46" s="10">
        <v>300596880</v>
      </c>
    </row>
    <row r="47" spans="2:9" x14ac:dyDescent="0.35">
      <c r="B47" s="3" t="s">
        <v>205</v>
      </c>
      <c r="C47" s="9" t="s">
        <v>206</v>
      </c>
      <c r="D47" s="10">
        <v>300808612</v>
      </c>
    </row>
    <row r="48" spans="2:9" x14ac:dyDescent="0.35">
      <c r="B48" s="3" t="s">
        <v>207</v>
      </c>
      <c r="C48" s="9" t="s">
        <v>208</v>
      </c>
      <c r="D48" s="10">
        <v>300596956</v>
      </c>
    </row>
    <row r="49" spans="2:9" x14ac:dyDescent="0.35">
      <c r="B49" s="3" t="s">
        <v>209</v>
      </c>
      <c r="C49" s="9" t="s">
        <v>210</v>
      </c>
      <c r="D49" s="10">
        <v>300577707</v>
      </c>
    </row>
    <row r="50" spans="2:9" x14ac:dyDescent="0.35">
      <c r="B50" s="3" t="s">
        <v>211</v>
      </c>
      <c r="C50" s="9" t="s">
        <v>212</v>
      </c>
      <c r="D50" s="10">
        <v>300596928</v>
      </c>
    </row>
    <row r="51" spans="2:9" x14ac:dyDescent="0.35">
      <c r="B51" s="3" t="s">
        <v>213</v>
      </c>
      <c r="C51" s="9" t="s">
        <v>214</v>
      </c>
      <c r="D51" s="10">
        <v>300596867</v>
      </c>
    </row>
    <row r="52" spans="2:9" x14ac:dyDescent="0.35">
      <c r="B52" s="3" t="s">
        <v>215</v>
      </c>
      <c r="C52" s="9" t="s">
        <v>216</v>
      </c>
      <c r="D52" s="10">
        <v>300596910</v>
      </c>
    </row>
    <row r="53" spans="2:9" x14ac:dyDescent="0.35">
      <c r="B53" s="3" t="s">
        <v>217</v>
      </c>
      <c r="C53" s="9" t="s">
        <v>218</v>
      </c>
      <c r="D53" s="10">
        <v>300596878</v>
      </c>
    </row>
    <row r="54" spans="2:9" x14ac:dyDescent="0.35">
      <c r="B54" s="13" t="s">
        <v>219</v>
      </c>
      <c r="C54" s="14"/>
      <c r="D54" s="14"/>
      <c r="E54" s="14"/>
      <c r="F54" s="14"/>
      <c r="G54" s="14"/>
      <c r="H54" s="14"/>
      <c r="I54" s="15"/>
    </row>
    <row r="55" spans="2:9" x14ac:dyDescent="0.35">
      <c r="B55" s="3" t="s">
        <v>220</v>
      </c>
      <c r="C55" s="9" t="s">
        <v>249</v>
      </c>
      <c r="D55" s="10">
        <v>300717714</v>
      </c>
    </row>
    <row r="56" spans="2:9" x14ac:dyDescent="0.35">
      <c r="B56" s="3" t="s">
        <v>221</v>
      </c>
      <c r="C56" s="9" t="s">
        <v>280</v>
      </c>
      <c r="D56" s="10">
        <v>300596700</v>
      </c>
    </row>
    <row r="57" spans="2:9" x14ac:dyDescent="0.35">
      <c r="B57" s="3" t="s">
        <v>222</v>
      </c>
      <c r="C57" s="9" t="s">
        <v>281</v>
      </c>
      <c r="D57" s="10">
        <v>300577693</v>
      </c>
    </row>
    <row r="58" spans="2:9" x14ac:dyDescent="0.35">
      <c r="B58" s="3" t="s">
        <v>223</v>
      </c>
      <c r="C58" s="9" t="s">
        <v>282</v>
      </c>
      <c r="D58" s="10">
        <v>300596701</v>
      </c>
    </row>
    <row r="59" spans="2:9" x14ac:dyDescent="0.35">
      <c r="B59" s="3" t="s">
        <v>224</v>
      </c>
      <c r="C59" s="9" t="s">
        <v>283</v>
      </c>
      <c r="D59" s="10">
        <v>300577695</v>
      </c>
    </row>
    <row r="60" spans="2:9" x14ac:dyDescent="0.35">
      <c r="B60" s="3" t="s">
        <v>225</v>
      </c>
      <c r="C60" s="9" t="s">
        <v>284</v>
      </c>
      <c r="D60" s="10">
        <v>300596702</v>
      </c>
    </row>
    <row r="61" spans="2:9" x14ac:dyDescent="0.35">
      <c r="B61" s="3" t="s">
        <v>226</v>
      </c>
      <c r="C61" s="9" t="s">
        <v>227</v>
      </c>
      <c r="D61" s="10">
        <v>300469386</v>
      </c>
    </row>
    <row r="62" spans="2:9" x14ac:dyDescent="0.35">
      <c r="B62" s="13" t="s">
        <v>228</v>
      </c>
      <c r="C62" s="14"/>
      <c r="D62" s="14"/>
      <c r="E62" s="14"/>
      <c r="F62" s="14"/>
      <c r="G62" s="14"/>
      <c r="H62" s="14"/>
      <c r="I62" s="15"/>
    </row>
    <row r="63" spans="2:9" x14ac:dyDescent="0.35">
      <c r="B63" s="3" t="s">
        <v>229</v>
      </c>
      <c r="C63" s="9" t="s">
        <v>285</v>
      </c>
      <c r="D63" s="10">
        <v>300577692</v>
      </c>
    </row>
    <row r="64" spans="2:9" x14ac:dyDescent="0.35">
      <c r="B64" s="3" t="s">
        <v>230</v>
      </c>
      <c r="C64" s="9" t="s">
        <v>286</v>
      </c>
      <c r="D64" s="10">
        <v>300596693</v>
      </c>
    </row>
    <row r="65" spans="2:4" x14ac:dyDescent="0.35">
      <c r="B65" s="3" t="s">
        <v>231</v>
      </c>
      <c r="C65" s="9" t="s">
        <v>232</v>
      </c>
      <c r="D65" s="10">
        <v>300469387</v>
      </c>
    </row>
  </sheetData>
  <sortState ref="K3:K10">
    <sortCondition ref="K3"/>
  </sortState>
  <mergeCells count="8">
    <mergeCell ref="B54:I54"/>
    <mergeCell ref="B62:I62"/>
    <mergeCell ref="B2:I2"/>
    <mergeCell ref="B16:I16"/>
    <mergeCell ref="B28:I28"/>
    <mergeCell ref="B30:I30"/>
    <mergeCell ref="B33:I33"/>
    <mergeCell ref="B42:I42"/>
  </mergeCells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0599-7580-4971-8C4F-20C40970DDF5}">
  <sheetPr codeName="Sheet8"/>
  <dimension ref="A1:D3"/>
  <sheetViews>
    <sheetView workbookViewId="0">
      <selection activeCell="D2" sqref="D2"/>
    </sheetView>
  </sheetViews>
  <sheetFormatPr defaultRowHeight="14.5" x14ac:dyDescent="0.35"/>
  <cols>
    <col min="1" max="1" width="13.1796875" customWidth="1"/>
    <col min="3" max="3" width="14.26953125" customWidth="1"/>
    <col min="4" max="4" width="19" customWidth="1"/>
  </cols>
  <sheetData>
    <row r="1" spans="1:4" x14ac:dyDescent="0.35">
      <c r="A1" t="s">
        <v>235</v>
      </c>
      <c r="C1" s="1" t="s">
        <v>236</v>
      </c>
      <c r="D1" s="1" t="s">
        <v>238</v>
      </c>
    </row>
    <row r="2" spans="1:4" x14ac:dyDescent="0.35">
      <c r="A2" t="s">
        <v>236</v>
      </c>
      <c r="C2" s="1"/>
      <c r="D2" s="1" t="s">
        <v>239</v>
      </c>
    </row>
    <row r="3" spans="1:4" x14ac:dyDescent="0.35">
      <c r="A3" t="s">
        <v>237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125E6-8A11-45E5-8CB2-5D0078C10990}">
  <sheetPr codeName="Sheet9"/>
  <dimension ref="A1:A4"/>
  <sheetViews>
    <sheetView workbookViewId="0">
      <selection activeCell="A10" sqref="A10"/>
    </sheetView>
  </sheetViews>
  <sheetFormatPr defaultRowHeight="14.5" x14ac:dyDescent="0.35"/>
  <cols>
    <col min="1" max="1" width="36.54296875" customWidth="1"/>
  </cols>
  <sheetData>
    <row r="1" spans="1:1" x14ac:dyDescent="0.35">
      <c r="A1" s="1" t="s">
        <v>287</v>
      </c>
    </row>
    <row r="2" spans="1:1" x14ac:dyDescent="0.35">
      <c r="A2" s="1" t="s">
        <v>290</v>
      </c>
    </row>
    <row r="3" spans="1:1" x14ac:dyDescent="0.35">
      <c r="A3" s="1" t="s">
        <v>288</v>
      </c>
    </row>
    <row r="4" spans="1:1" x14ac:dyDescent="0.35">
      <c r="A4" s="1" t="s">
        <v>289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26</vt:i4>
      </vt:variant>
    </vt:vector>
  </HeadingPairs>
  <TitlesOfParts>
    <vt:vector size="39" baseType="lpstr">
      <vt:lpstr>Input_PM_Data</vt:lpstr>
      <vt:lpstr>Schedule_Dates</vt:lpstr>
      <vt:lpstr>Yes_No</vt:lpstr>
      <vt:lpstr>Maint Act</vt:lpstr>
      <vt:lpstr>Priority</vt:lpstr>
      <vt:lpstr>Discipline</vt:lpstr>
      <vt:lpstr>PM Number </vt:lpstr>
      <vt:lpstr>WorkCntrData</vt:lpstr>
      <vt:lpstr>WorkCenterDetails</vt:lpstr>
      <vt:lpstr>Team Details</vt:lpstr>
      <vt:lpstr>Function_Location</vt:lpstr>
      <vt:lpstr>MPL_Options</vt:lpstr>
      <vt:lpstr>DescriptionOfTasks</vt:lpstr>
      <vt:lpstr>CO4LB22</vt:lpstr>
      <vt:lpstr>CO4LB27</vt:lpstr>
      <vt:lpstr>CO4LB28</vt:lpstr>
      <vt:lpstr>CO4LB29</vt:lpstr>
      <vt:lpstr>CO4LB30</vt:lpstr>
      <vt:lpstr>CO4LB31</vt:lpstr>
      <vt:lpstr>CO4LB40</vt:lpstr>
      <vt:lpstr>CO4LB69</vt:lpstr>
      <vt:lpstr>DescriptionOfTasks</vt:lpstr>
      <vt:lpstr>Discipline</vt:lpstr>
      <vt:lpstr>FunctionLocation</vt:lpstr>
      <vt:lpstr>Maint_Act</vt:lpstr>
      <vt:lpstr>MPLoptions</vt:lpstr>
      <vt:lpstr>No</vt:lpstr>
      <vt:lpstr>PMnumber</vt:lpstr>
      <vt:lpstr>Priority</vt:lpstr>
      <vt:lpstr>WorkCntrData!Table2</vt:lpstr>
      <vt:lpstr>Table2</vt:lpstr>
      <vt:lpstr>Team</vt:lpstr>
      <vt:lpstr>'Team Details'!WC_Type</vt:lpstr>
      <vt:lpstr>WorkCntrData!WorkCenter</vt:lpstr>
      <vt:lpstr>WorkCenter</vt:lpstr>
      <vt:lpstr>WorkCenterNumber</vt:lpstr>
      <vt:lpstr>WorkCenterType</vt:lpstr>
      <vt:lpstr>Yes</vt:lpstr>
      <vt:lpstr>Yes_No_Options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Jahneyka Smith</dc:creator>
  <cp:lastModifiedBy>Jahneyka Smith</cp:lastModifiedBy>
  <dcterms:created xsi:type="dcterms:W3CDTF">2020-12-20T08:38:39Z</dcterms:created>
  <dcterms:modified xsi:type="dcterms:W3CDTF">2020-12-28T21:53:08Z</dcterms:modified>
</cp:coreProperties>
</file>